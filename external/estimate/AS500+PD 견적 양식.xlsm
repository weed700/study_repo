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글루시스\estimate\"/>
    </mc:Choice>
  </mc:AlternateContent>
  <bookViews>
    <workbookView xWindow="0" yWindow="0" windowWidth="27870" windowHeight="12975"/>
  </bookViews>
  <sheets>
    <sheet name="AS5 DB" sheetId="1" r:id="rId1"/>
    <sheet name="Sheet1" sheetId="9" r:id="rId2"/>
    <sheet name="AS500 일체형" sheetId="2" r:id="rId3"/>
    <sheet name="PlugDISK" sheetId="5" r:id="rId4"/>
    <sheet name="GW 싱글-사용X" sheetId="7" r:id="rId5"/>
    <sheet name="GW 클러스터-사용X" sheetId="8" r:id="rId6"/>
    <sheet name="AS3000-사용X" sheetId="6" r:id="rId7"/>
    <sheet name="Sheet2" sheetId="10" r:id="rId8"/>
  </sheets>
  <definedNames>
    <definedName name="AS3000SD">'AS5 DB'!$F$25:$F$28</definedName>
    <definedName name="AS3000SD워런티">'AS5 DB'!$F$106:$F$110</definedName>
    <definedName name="AS5워런티">'AS5 DB'!$F$81:$F$89</definedName>
    <definedName name="AS5일체형">'AS5 DB'!$F$3:$F$12</definedName>
    <definedName name="clear">'AS500 일체형:PlugDISK'!$L$10:$M$23</definedName>
    <definedName name="GW">'AS5 DB'!$F$13:$F$21</definedName>
    <definedName name="GWCluster">'AS5 DB'!$F$19:$F$21</definedName>
    <definedName name="GWCPU">'AS5 DB'!$F$22:$F$24</definedName>
    <definedName name="GWSingle">'AS5 DB'!$F$13:$F$18</definedName>
    <definedName name="GW워런티">'AS5 DB'!$F$99:$F$105</definedName>
    <definedName name="HBA_IB">'AS5 DB'!$F$72:$F$78</definedName>
    <definedName name="IB">'AS5 DB'!$F$76:$F$78</definedName>
    <definedName name="NIC">'AS5 DB'!$F$67:$F$71</definedName>
    <definedName name="PD워런티">'AS5 DB'!$F$90:$F$98</definedName>
    <definedName name="PlugDISK">'AS5 DB'!$F$111:$F$116</definedName>
    <definedName name="_xlnm.Print_Area" localSheetId="6">'AS3000-사용X'!$A$1:$J$58</definedName>
    <definedName name="_xlnm.Print_Area" localSheetId="2">'AS500 일체형'!$A$1:$I$53</definedName>
    <definedName name="_xlnm.Print_Area" localSheetId="4">'GW 싱글-사용X'!$A$1:$I$56</definedName>
    <definedName name="_xlnm.Print_Area" localSheetId="5">'GW 클러스터-사용X'!$A$1:$J$56</definedName>
    <definedName name="_xlnm.Print_Area" localSheetId="3">PlugDISK!$A$1:$I$51</definedName>
    <definedName name="RAID">'AS5 DB'!$I$37:$I$38</definedName>
    <definedName name="RAID표">'AS5 DB'!$I$37:$J$38</definedName>
    <definedName name="견적담당자">'AS5 DB'!$I$5:$I$9</definedName>
    <definedName name="견적담당자INFO">'AS5 DB'!$I$5:$L$9</definedName>
    <definedName name="디스크">'AS5 DB'!$F$32:$F$66</definedName>
    <definedName name="메모리">'AS5 DB'!$F$29:$F$31</definedName>
    <definedName name="옵션SW">'AS5 DB'!$F$79:$F$80</definedName>
    <definedName name="워런티복제">'AS5 DB'!$F$79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0" i="2" l="1"/>
  <c r="A50" i="10"/>
  <c r="A47" i="10"/>
  <c r="F42" i="10"/>
  <c r="D42" i="10"/>
  <c r="B42" i="10"/>
  <c r="I41" i="10"/>
  <c r="H41" i="10"/>
  <c r="D41" i="10"/>
  <c r="B41" i="10"/>
  <c r="H40" i="10"/>
  <c r="I40" i="10" s="1"/>
  <c r="F40" i="10"/>
  <c r="D40" i="10"/>
  <c r="B40" i="10"/>
  <c r="F39" i="10"/>
  <c r="D39" i="10"/>
  <c r="B39" i="10"/>
  <c r="D24" i="10"/>
  <c r="D22" i="10"/>
  <c r="H21" i="10"/>
  <c r="G21" i="10"/>
  <c r="F21" i="10"/>
  <c r="I21" i="10" s="1"/>
  <c r="H43" i="10" s="1"/>
  <c r="H44" i="10" s="1"/>
  <c r="H45" i="10" s="1"/>
  <c r="C15" i="10" s="1"/>
  <c r="B21" i="10"/>
  <c r="A20" i="10"/>
  <c r="C16" i="10"/>
  <c r="C11" i="10"/>
  <c r="C12" i="10" s="1"/>
  <c r="C10" i="10"/>
  <c r="H9" i="10"/>
  <c r="C9" i="10"/>
  <c r="C8" i="10"/>
  <c r="H7" i="10"/>
  <c r="H8" i="10" s="1"/>
  <c r="C7" i="10"/>
  <c r="C16" i="2"/>
  <c r="N16" i="2"/>
  <c r="I41" i="2" l="1"/>
  <c r="H41" i="2"/>
  <c r="D41" i="2"/>
  <c r="B41" i="2"/>
  <c r="H21" i="8"/>
  <c r="S14" i="2"/>
  <c r="A20" i="5"/>
  <c r="F38" i="5"/>
  <c r="D38" i="5"/>
  <c r="B38" i="5"/>
  <c r="Q20" i="6"/>
  <c r="O20" i="6"/>
  <c r="P20" i="6" s="1"/>
  <c r="Q19" i="6"/>
  <c r="O19" i="6"/>
  <c r="Q17" i="8"/>
  <c r="O17" i="8"/>
  <c r="P17" i="8" s="1"/>
  <c r="Q16" i="8"/>
  <c r="O16" i="8"/>
  <c r="P17" i="7"/>
  <c r="P16" i="7"/>
  <c r="N17" i="7"/>
  <c r="O17" i="7" s="1"/>
  <c r="N16" i="7"/>
  <c r="P20" i="2"/>
  <c r="N20" i="2"/>
  <c r="O20" i="2" s="1"/>
  <c r="D43" i="8" l="1"/>
  <c r="D23" i="8"/>
  <c r="A20" i="6" l="1"/>
  <c r="A20" i="7"/>
  <c r="D24" i="5"/>
  <c r="D24" i="2"/>
  <c r="D23" i="6"/>
  <c r="D23" i="7"/>
  <c r="D22" i="5"/>
  <c r="P21" i="7"/>
  <c r="N21" i="7"/>
  <c r="O21" i="7" s="1"/>
  <c r="T17" i="6"/>
  <c r="T16" i="6"/>
  <c r="T14" i="6"/>
  <c r="S17" i="5"/>
  <c r="S16" i="5"/>
  <c r="S14" i="5"/>
  <c r="S17" i="2"/>
  <c r="D22" i="2"/>
  <c r="S16" i="2"/>
  <c r="Q19" i="8" l="1"/>
  <c r="B45" i="8" s="1"/>
  <c r="O19" i="8"/>
  <c r="Q21" i="8"/>
  <c r="O21" i="8"/>
  <c r="P21" i="8" s="1"/>
  <c r="Q22" i="6"/>
  <c r="B47" i="6" s="1"/>
  <c r="O22" i="6"/>
  <c r="F47" i="6"/>
  <c r="D47" i="6"/>
  <c r="D46" i="6"/>
  <c r="Q10" i="6"/>
  <c r="B21" i="6" s="1"/>
  <c r="O10" i="6"/>
  <c r="Q24" i="6"/>
  <c r="B46" i="6" s="1"/>
  <c r="O24" i="6"/>
  <c r="Q10" i="8"/>
  <c r="B21" i="8" s="1"/>
  <c r="O10" i="8"/>
  <c r="P23" i="5"/>
  <c r="N23" i="5"/>
  <c r="N21" i="5"/>
  <c r="P21" i="5"/>
  <c r="Q23" i="8"/>
  <c r="O23" i="8"/>
  <c r="P19" i="2" l="1"/>
  <c r="N19" i="2"/>
  <c r="O19" i="2" s="1"/>
  <c r="P23" i="8"/>
  <c r="P19" i="8"/>
  <c r="B43" i="8"/>
  <c r="P16" i="8"/>
  <c r="Q14" i="8"/>
  <c r="O14" i="8"/>
  <c r="P14" i="8" s="1"/>
  <c r="Q13" i="8"/>
  <c r="O13" i="8"/>
  <c r="P13" i="8" s="1"/>
  <c r="C16" i="8"/>
  <c r="A54" i="8" s="1"/>
  <c r="O11" i="8"/>
  <c r="P11" i="8" s="1"/>
  <c r="P10" i="8"/>
  <c r="C10" i="8"/>
  <c r="C9" i="8"/>
  <c r="C8" i="8"/>
  <c r="I7" i="8"/>
  <c r="I9" i="8" s="1"/>
  <c r="P3" i="8"/>
  <c r="C11" i="8" s="1"/>
  <c r="C12" i="8" s="1"/>
  <c r="F43" i="7"/>
  <c r="A50" i="7" s="1"/>
  <c r="D43" i="7"/>
  <c r="F42" i="7"/>
  <c r="D42" i="7"/>
  <c r="P23" i="7"/>
  <c r="N23" i="7"/>
  <c r="O23" i="7" s="1"/>
  <c r="P19" i="7"/>
  <c r="B43" i="7" s="1"/>
  <c r="N19" i="7"/>
  <c r="O19" i="7" s="1"/>
  <c r="F21" i="7"/>
  <c r="O16" i="7"/>
  <c r="P14" i="7"/>
  <c r="N14" i="7"/>
  <c r="O14" i="7" s="1"/>
  <c r="P13" i="7"/>
  <c r="B42" i="7" s="1"/>
  <c r="N13" i="7"/>
  <c r="O13" i="7" s="1"/>
  <c r="C16" i="7"/>
  <c r="A53" i="7" s="1"/>
  <c r="N11" i="7"/>
  <c r="O11" i="7" s="1"/>
  <c r="P10" i="7"/>
  <c r="N10" i="7"/>
  <c r="O10" i="7" s="1"/>
  <c r="C10" i="7"/>
  <c r="C9" i="7"/>
  <c r="C8" i="7"/>
  <c r="H7" i="7"/>
  <c r="H9" i="7" s="1"/>
  <c r="O3" i="7"/>
  <c r="C11" i="7" s="1"/>
  <c r="C12" i="7" s="1"/>
  <c r="A45" i="5"/>
  <c r="P24" i="6"/>
  <c r="F46" i="6"/>
  <c r="A52" i="6" s="1"/>
  <c r="F44" i="6"/>
  <c r="D44" i="6"/>
  <c r="P22" i="6"/>
  <c r="P19" i="6"/>
  <c r="Q17" i="6"/>
  <c r="O17" i="6"/>
  <c r="P17" i="6" s="1"/>
  <c r="Q16" i="6"/>
  <c r="B44" i="6" s="1"/>
  <c r="O16" i="6"/>
  <c r="P16" i="6" s="1"/>
  <c r="C16" i="6"/>
  <c r="A55" i="6" s="1"/>
  <c r="Q14" i="6"/>
  <c r="O14" i="6"/>
  <c r="P14" i="6" s="1"/>
  <c r="Q13" i="6"/>
  <c r="O13" i="6"/>
  <c r="P13" i="6" s="1"/>
  <c r="O11" i="6"/>
  <c r="P11" i="6" s="1"/>
  <c r="P10" i="6"/>
  <c r="C10" i="6"/>
  <c r="C9" i="6"/>
  <c r="C8" i="6"/>
  <c r="I7" i="6"/>
  <c r="I8" i="6" s="1"/>
  <c r="P3" i="6"/>
  <c r="P10" i="5"/>
  <c r="B21" i="5" s="1"/>
  <c r="N10" i="5"/>
  <c r="O10" i="5" s="1"/>
  <c r="D36" i="5"/>
  <c r="F37" i="5"/>
  <c r="D37" i="5"/>
  <c r="F36" i="5"/>
  <c r="O23" i="5"/>
  <c r="O21" i="5"/>
  <c r="F21" i="5"/>
  <c r="P19" i="5"/>
  <c r="N19" i="5"/>
  <c r="O19" i="5" s="1"/>
  <c r="P17" i="5"/>
  <c r="N17" i="5"/>
  <c r="O17" i="5" s="1"/>
  <c r="P16" i="5"/>
  <c r="B37" i="5" s="1"/>
  <c r="N16" i="5"/>
  <c r="O16" i="5" s="1"/>
  <c r="C16" i="5"/>
  <c r="A48" i="5" s="1"/>
  <c r="P14" i="5"/>
  <c r="N14" i="5"/>
  <c r="O14" i="5" s="1"/>
  <c r="P13" i="5"/>
  <c r="B36" i="5" s="1"/>
  <c r="N13" i="5"/>
  <c r="O13" i="5" s="1"/>
  <c r="N11" i="5"/>
  <c r="C10" i="5"/>
  <c r="C9" i="5"/>
  <c r="C8" i="5"/>
  <c r="H7" i="5"/>
  <c r="H8" i="5" s="1"/>
  <c r="O3" i="5"/>
  <c r="K8" i="5" s="1"/>
  <c r="P24" i="2"/>
  <c r="N24" i="2"/>
  <c r="O24" i="2" s="1"/>
  <c r="P22" i="2"/>
  <c r="B42" i="2" s="1"/>
  <c r="N22" i="2"/>
  <c r="O22" i="2" s="1"/>
  <c r="P17" i="2"/>
  <c r="P16" i="2"/>
  <c r="B40" i="2" s="1"/>
  <c r="N17" i="2"/>
  <c r="O17" i="2" s="1"/>
  <c r="O16" i="2"/>
  <c r="H40" i="2" s="1"/>
  <c r="I40" i="2" s="1"/>
  <c r="P14" i="2"/>
  <c r="P13" i="2"/>
  <c r="B39" i="2" s="1"/>
  <c r="N14" i="2"/>
  <c r="O14" i="2" s="1"/>
  <c r="N13" i="2"/>
  <c r="O13" i="2" s="1"/>
  <c r="P10" i="2"/>
  <c r="B21" i="2" s="1"/>
  <c r="N11" i="2"/>
  <c r="N10" i="2"/>
  <c r="O10" i="2" s="1"/>
  <c r="O3" i="2"/>
  <c r="K8" i="2" s="1"/>
  <c r="H7" i="2"/>
  <c r="H9" i="2" s="1"/>
  <c r="C10" i="2"/>
  <c r="A50" i="2"/>
  <c r="C9" i="2"/>
  <c r="C8" i="2"/>
  <c r="F42" i="2"/>
  <c r="A47" i="2" s="1"/>
  <c r="F40" i="2"/>
  <c r="F39" i="2"/>
  <c r="D42" i="2"/>
  <c r="D40" i="2"/>
  <c r="D39" i="2"/>
  <c r="F21" i="2"/>
  <c r="H8" i="7" l="1"/>
  <c r="B44" i="8"/>
  <c r="I8" i="8"/>
  <c r="N25" i="7"/>
  <c r="G21" i="7" s="1"/>
  <c r="L8" i="8"/>
  <c r="C7" i="8" s="1"/>
  <c r="O25" i="7"/>
  <c r="K8" i="7"/>
  <c r="C7" i="7" s="1"/>
  <c r="L8" i="6"/>
  <c r="C7" i="6" s="1"/>
  <c r="I9" i="6"/>
  <c r="C11" i="6"/>
  <c r="C12" i="6" s="1"/>
  <c r="P26" i="6"/>
  <c r="O26" i="6"/>
  <c r="H21" i="6" s="1"/>
  <c r="C7" i="5"/>
  <c r="H9" i="5"/>
  <c r="N25" i="5"/>
  <c r="G21" i="5" s="1"/>
  <c r="C11" i="5"/>
  <c r="C12" i="5" s="1"/>
  <c r="O11" i="5"/>
  <c r="O25" i="5" s="1"/>
  <c r="O11" i="2"/>
  <c r="C7" i="2"/>
  <c r="C11" i="2"/>
  <c r="C12" i="2" s="1"/>
  <c r="H8" i="2"/>
  <c r="N26" i="2"/>
  <c r="H21" i="7" l="1"/>
  <c r="I21" i="7" s="1"/>
  <c r="H46" i="7" s="1"/>
  <c r="H47" i="7" s="1"/>
  <c r="H48" i="7" s="1"/>
  <c r="C15" i="7" s="1"/>
  <c r="O26" i="7"/>
  <c r="I21" i="6"/>
  <c r="J21" i="6" s="1"/>
  <c r="I48" i="6" s="1"/>
  <c r="I49" i="6" s="1"/>
  <c r="I50" i="6" s="1"/>
  <c r="C15" i="6" s="1"/>
  <c r="P27" i="6"/>
  <c r="H21" i="5"/>
  <c r="I21" i="5" s="1"/>
  <c r="H41" i="5" s="1"/>
  <c r="H42" i="5" s="1"/>
  <c r="H43" i="5" s="1"/>
  <c r="C15" i="5" s="1"/>
  <c r="O26" i="5"/>
  <c r="J21" i="8"/>
  <c r="I47" i="8" s="1"/>
  <c r="I48" i="8" s="1"/>
  <c r="I49" i="8" s="1"/>
  <c r="C15" i="8" s="1"/>
  <c r="O26" i="2"/>
  <c r="G21" i="2"/>
  <c r="O27" i="2" l="1"/>
  <c r="H21" i="2" s="1"/>
  <c r="I21" i="2" s="1"/>
  <c r="H43" i="2" s="1"/>
  <c r="H44" i="2" l="1"/>
  <c r="H45" i="2" s="1"/>
  <c r="C15" i="2" s="1"/>
</calcChain>
</file>

<file path=xl/sharedStrings.xml><?xml version="1.0" encoding="utf-8"?>
<sst xmlns="http://schemas.openxmlformats.org/spreadsheetml/2006/main" count="1096" uniqueCount="496">
  <si>
    <t>AS500
일체형</t>
    <phoneticPr fontId="2" type="noConversion"/>
  </si>
  <si>
    <t>AS-5001004</t>
  </si>
  <si>
    <t>견적 담당자</t>
    <phoneticPr fontId="2" type="noConversion"/>
  </si>
  <si>
    <t>AS-500T104</t>
  </si>
  <si>
    <t>이름</t>
    <phoneticPr fontId="2" type="noConversion"/>
  </si>
  <si>
    <t>연락처</t>
    <phoneticPr fontId="2" type="noConversion"/>
  </si>
  <si>
    <t>이메일</t>
    <phoneticPr fontId="2" type="noConversion"/>
  </si>
  <si>
    <t>AS-5002008</t>
  </si>
  <si>
    <t>010-5669-3172</t>
    <phoneticPr fontId="2" type="noConversion"/>
  </si>
  <si>
    <t>gspark@gluesys.com</t>
    <phoneticPr fontId="2" type="noConversion"/>
  </si>
  <si>
    <t>AS-500T208</t>
  </si>
  <si>
    <t>njheo@gluesys.com</t>
    <phoneticPr fontId="2" type="noConversion"/>
  </si>
  <si>
    <t>AS-5002012</t>
  </si>
  <si>
    <t>AnyStor500-12</t>
  </si>
  <si>
    <t>justin@gluesys.com</t>
    <phoneticPr fontId="2" type="noConversion"/>
  </si>
  <si>
    <t>AS-5003016</t>
  </si>
  <si>
    <t>AnyStor500-16</t>
  </si>
  <si>
    <t>010-5769-7610</t>
    <phoneticPr fontId="2" type="noConversion"/>
  </si>
  <si>
    <t>dhwoo@gluesys.com</t>
    <phoneticPr fontId="2" type="noConversion"/>
  </si>
  <si>
    <t>AS-5004024</t>
  </si>
  <si>
    <t>AnyStor500-24</t>
  </si>
  <si>
    <t>jkim@gluesys.com</t>
    <phoneticPr fontId="2" type="noConversion"/>
  </si>
  <si>
    <t>AS-5009036</t>
  </si>
  <si>
    <t>AnyStor500-36</t>
  </si>
  <si>
    <t>AS-5004048</t>
  </si>
  <si>
    <t>2.5"</t>
    <phoneticPr fontId="2" type="noConversion"/>
  </si>
  <si>
    <t>AnyStor500-48</t>
  </si>
  <si>
    <t>AS-5004072</t>
  </si>
  <si>
    <t>AnyStor500-72</t>
  </si>
  <si>
    <t>AS500
Gateway</t>
    <phoneticPr fontId="2" type="noConversion"/>
  </si>
  <si>
    <t>AnyStor 8140-C</t>
  </si>
  <si>
    <t>AnyStor 8240-C</t>
  </si>
  <si>
    <t>AnyStor 8380-C</t>
  </si>
  <si>
    <t>GW+
Storage</t>
    <phoneticPr fontId="2" type="noConversion"/>
  </si>
  <si>
    <t>AS-3000S01</t>
  </si>
  <si>
    <t>AnyStor3000S</t>
  </si>
  <si>
    <t>AS-3000D01</t>
  </si>
  <si>
    <t>AnyStor3000D</t>
  </si>
  <si>
    <t>AS-5000S01</t>
  </si>
  <si>
    <t>AnyStor5000S</t>
  </si>
  <si>
    <t>AS-5000D01</t>
  </si>
  <si>
    <t>3.84TB SSD Hot Swappable Disk</t>
  </si>
  <si>
    <t>1.92TB SSD Hot Swappable Disk</t>
  </si>
  <si>
    <t>960GB SSD Hot Swappable Disk</t>
  </si>
  <si>
    <t>2 Port 10G Network Interface(UTP)</t>
  </si>
  <si>
    <t>2 Port 10G Network Interface(Optic)</t>
  </si>
  <si>
    <t>InfiniBand Single Port Card</t>
  </si>
  <si>
    <t>InfiniBand Dual Port Card</t>
  </si>
  <si>
    <t>InfiniBand 3M 케이블 1개</t>
  </si>
  <si>
    <t>AnyStor Volume Replicator for Local or Remote</t>
  </si>
  <si>
    <t>1year warranty for AS500-4</t>
  </si>
  <si>
    <t>1year warranty for AS500-8</t>
  </si>
  <si>
    <t>1year warranty for AS500-12</t>
  </si>
  <si>
    <t>1year warranty for AS500-16</t>
  </si>
  <si>
    <t>1year warranty for AS500-24</t>
  </si>
  <si>
    <t>1year warranty for AS500-36</t>
  </si>
  <si>
    <t>1year Maintenance Service for AS 500 (월 정기점검)</t>
  </si>
  <si>
    <t>1year Maintenance Service for AS 500 (분기 정기점검)</t>
  </si>
  <si>
    <t>1year warranty for AnyStor2000T</t>
  </si>
  <si>
    <t>1year Maintenance Service for AnyStor Gateway (월 정기점검)</t>
  </si>
  <si>
    <t>1year Maintenance Service for AnyStor Gateway (분기 정기점검)</t>
  </si>
  <si>
    <t xml:space="preserve">     (14055) 경기도 안양시 동안구 시민대로327번길 11-31 파낙스R&amp;D센터 5층</t>
    <phoneticPr fontId="5" type="noConversion"/>
  </si>
  <si>
    <t xml:space="preserve">       TEL : 070-8787-5376     FAX : 031-388-3261     http://www.gluesys.com</t>
    <phoneticPr fontId="5" type="noConversion"/>
  </si>
  <si>
    <t>見 積 書</t>
    <phoneticPr fontId="5" type="noConversion"/>
  </si>
  <si>
    <t>견적번호</t>
    <phoneticPr fontId="5" type="noConversion"/>
  </si>
  <si>
    <t>담당자</t>
    <phoneticPr fontId="5" type="noConversion"/>
  </si>
  <si>
    <t>수신</t>
    <phoneticPr fontId="5" type="noConversion"/>
  </si>
  <si>
    <t>전화번호</t>
    <phoneticPr fontId="5" type="noConversion"/>
  </si>
  <si>
    <t>참조</t>
    <phoneticPr fontId="5" type="noConversion"/>
  </si>
  <si>
    <t>E-mail</t>
    <phoneticPr fontId="5" type="noConversion"/>
  </si>
  <si>
    <t>연 락 처</t>
    <phoneticPr fontId="9" type="noConversion"/>
  </si>
  <si>
    <t>상호</t>
    <phoneticPr fontId="5" type="noConversion"/>
  </si>
  <si>
    <t>㈜ 글 루 시 스</t>
    <phoneticPr fontId="5" type="noConversion"/>
  </si>
  <si>
    <t>견적일</t>
    <phoneticPr fontId="5" type="noConversion"/>
  </si>
  <si>
    <t>유효기간</t>
    <phoneticPr fontId="5" type="noConversion"/>
  </si>
  <si>
    <t>대표이사</t>
    <phoneticPr fontId="5" type="noConversion"/>
  </si>
  <si>
    <r>
      <t>박  성  순</t>
    </r>
    <r>
      <rPr>
        <b/>
        <sz val="6"/>
        <color indexed="8"/>
        <rFont val="맑은 고딕"/>
        <family val="3"/>
        <charset val="129"/>
      </rPr>
      <t xml:space="preserve">  (직인생략)</t>
    </r>
    <phoneticPr fontId="5" type="noConversion"/>
  </si>
  <si>
    <t>납품 가능일</t>
    <phoneticPr fontId="5" type="noConversion"/>
  </si>
  <si>
    <t>:</t>
    <phoneticPr fontId="5" type="noConversion"/>
  </si>
  <si>
    <t>건 명</t>
    <phoneticPr fontId="5" type="noConversion"/>
  </si>
  <si>
    <t>귀사의 무궁한 발전을 기원하오며, 아래와 같이 견적합니다.</t>
    <phoneticPr fontId="5" type="noConversion"/>
  </si>
  <si>
    <t>단위. 원(V.A.T 별도)</t>
    <phoneticPr fontId="5" type="noConversion"/>
  </si>
  <si>
    <t>번호</t>
    <phoneticPr fontId="5" type="noConversion"/>
  </si>
  <si>
    <t>모델</t>
    <phoneticPr fontId="5" type="noConversion"/>
  </si>
  <si>
    <t>상세내역</t>
    <phoneticPr fontId="5" type="noConversion"/>
  </si>
  <si>
    <t>수량</t>
    <phoneticPr fontId="5" type="noConversion"/>
  </si>
  <si>
    <t>소비자단가</t>
    <phoneticPr fontId="5" type="noConversion"/>
  </si>
  <si>
    <t>공급단가</t>
    <phoneticPr fontId="5" type="noConversion"/>
  </si>
  <si>
    <t>공급금액</t>
    <phoneticPr fontId="5" type="noConversion"/>
  </si>
  <si>
    <t>AS-5001004</t>
    <phoneticPr fontId="9" type="noConversion"/>
  </si>
  <si>
    <t>1Gigabit Ethernet 2Port(UTP)</t>
    <phoneticPr fontId="9" type="noConversion"/>
  </si>
  <si>
    <t>O/S</t>
    <phoneticPr fontId="5" type="noConversion"/>
  </si>
  <si>
    <t>- Raid 지원 : 0, 1, 5, 6, 10, 50, 60 Support</t>
    <phoneticPr fontId="9" type="noConversion"/>
  </si>
  <si>
    <t>지원프로토콜</t>
    <phoneticPr fontId="9" type="noConversion"/>
  </si>
  <si>
    <t>- NFS, CIFS, Apple Talk, SNMP, FTP</t>
    <phoneticPr fontId="9" type="noConversion"/>
  </si>
  <si>
    <t>AnyManager</t>
    <phoneticPr fontId="9" type="noConversion"/>
  </si>
  <si>
    <t>- 웹 기반의 NAS 관리도구</t>
    <phoneticPr fontId="9" type="noConversion"/>
  </si>
  <si>
    <t>- Online Local Volume Expansion, AnyShot, ACL</t>
    <phoneticPr fontId="9" type="noConversion"/>
  </si>
  <si>
    <t>- Quota 설정(User, Group, Folder)</t>
    <phoneticPr fontId="9" type="noConversion"/>
  </si>
  <si>
    <t>- 내부 하드웨어 모니터링</t>
    <phoneticPr fontId="9" type="noConversion"/>
  </si>
  <si>
    <t>- NAS 환경설정 데이터 백업 및 복구</t>
    <phoneticPr fontId="9" type="noConversion"/>
  </si>
  <si>
    <t>- 장애 통지 지원</t>
    <phoneticPr fontId="9" type="noConversion"/>
  </si>
  <si>
    <t>HD-SA0001T</t>
  </si>
  <si>
    <t>HD-SA0002T</t>
  </si>
  <si>
    <t>HD-SA0004T</t>
  </si>
  <si>
    <t>* CPU는 발주 시점에 따라서 동일 성능의 제품으로 변경될 수 있습니다.</t>
    <phoneticPr fontId="5" type="noConversion"/>
  </si>
  <si>
    <t>공급가</t>
    <phoneticPr fontId="5" type="noConversion"/>
  </si>
  <si>
    <t>부가가치세</t>
    <phoneticPr fontId="5" type="noConversion"/>
  </si>
  <si>
    <t>총합계</t>
    <phoneticPr fontId="5" type="noConversion"/>
  </si>
  <si>
    <t>비고</t>
    <phoneticPr fontId="5" type="noConversion"/>
  </si>
  <si>
    <t>3. 결제조건 별도 협의.</t>
    <phoneticPr fontId="5" type="noConversion"/>
  </si>
  <si>
    <t>납품 일정 협의</t>
    <phoneticPr fontId="5" type="noConversion"/>
  </si>
  <si>
    <t>Redundant Power Supply</t>
    <phoneticPr fontId="5" type="noConversion"/>
  </si>
  <si>
    <t>2. 무상유지보수 기간에는 정기 점검은 없습니다.(요청시 금액 추가)</t>
    <phoneticPr fontId="5" type="noConversion"/>
  </si>
  <si>
    <t>견적가</t>
    <phoneticPr fontId="5" type="noConversion"/>
  </si>
  <si>
    <t>소비자가</t>
    <phoneticPr fontId="2" type="noConversion"/>
  </si>
  <si>
    <t>파트No.</t>
    <phoneticPr fontId="2" type="noConversion"/>
  </si>
  <si>
    <t>모델</t>
    <phoneticPr fontId="2" type="noConversion"/>
  </si>
  <si>
    <t>상세</t>
    <phoneticPr fontId="2" type="noConversion"/>
  </si>
  <si>
    <t>상세 내역</t>
    <phoneticPr fontId="2" type="noConversion"/>
  </si>
  <si>
    <t>1U</t>
    <phoneticPr fontId="2" type="noConversion"/>
  </si>
  <si>
    <t>수량</t>
    <phoneticPr fontId="2" type="noConversion"/>
  </si>
  <si>
    <t>디스크 1</t>
    <phoneticPr fontId="2" type="noConversion"/>
  </si>
  <si>
    <t>디스크 2</t>
    <phoneticPr fontId="2" type="noConversion"/>
  </si>
  <si>
    <t>NIC 1</t>
    <phoneticPr fontId="2" type="noConversion"/>
  </si>
  <si>
    <t>NIC 2</t>
    <phoneticPr fontId="2" type="noConversion"/>
  </si>
  <si>
    <t>메모리</t>
    <phoneticPr fontId="2" type="noConversion"/>
  </si>
  <si>
    <t xml:space="preserve">16GB Memory </t>
  </si>
  <si>
    <t xml:space="preserve">32GB Memory </t>
  </si>
  <si>
    <t xml:space="preserve">64GB Memory </t>
  </si>
  <si>
    <t xml:space="preserve">1TB Hot Swappable SATA-III 7.2Krpm  </t>
  </si>
  <si>
    <t xml:space="preserve">2TB Hot Swappable SATA-III 7.2Krpm  </t>
  </si>
  <si>
    <t xml:space="preserve">4TB Hot Swappable SATA-III 7.2Krpm </t>
  </si>
  <si>
    <t xml:space="preserve">6TB Hot Swappable SATA-III 7.2Krpm </t>
  </si>
  <si>
    <t xml:space="preserve">8TB Hot Swappable SATA-III 7.2Krpm </t>
  </si>
  <si>
    <t xml:space="preserve">10TB Hot Swappable SATA-III 7.2Krpm </t>
  </si>
  <si>
    <t xml:space="preserve">12TB Hot Swappable SATA-III 7.2Krpm </t>
  </si>
  <si>
    <t xml:space="preserve">14TB Hot Swappable SATA-III 7.2Krpm </t>
  </si>
  <si>
    <t xml:space="preserve">16TB Hot Swappable SATA-III 7.2Krpm </t>
  </si>
  <si>
    <t xml:space="preserve">1TB Hot Swappable NL SAS 7.2Krpm  </t>
  </si>
  <si>
    <t xml:space="preserve">2TB Hot Swappable NL SAS 7.2Krpm  </t>
  </si>
  <si>
    <t xml:space="preserve">4TB Hot Swappable NL SAS 7.2Krpm  </t>
  </si>
  <si>
    <t xml:space="preserve">6TB Hot Swappable NL SAS 7.2Krpm  </t>
  </si>
  <si>
    <t xml:space="preserve">8TB Hot Swappable NL SAS 7.2Krpm  </t>
  </si>
  <si>
    <t xml:space="preserve">10TB Hot Swappable NL SAS 7.2Krpm  </t>
  </si>
  <si>
    <t xml:space="preserve">12TB Hot Swappable NL SAS 7.2Krpm  </t>
  </si>
  <si>
    <t xml:space="preserve">14TB Hot Swappable NL SAS 7.2Krpm  </t>
  </si>
  <si>
    <t xml:space="preserve">16TB Hot Swappable NL SAS 7.2Krpm  </t>
  </si>
  <si>
    <t xml:space="preserve">18TB Hot Swappable NL SAS 7.2Krpm  </t>
  </si>
  <si>
    <t xml:space="preserve">300GB Hot Swappable SAS 15Krpm </t>
  </si>
  <si>
    <t xml:space="preserve">600GB Hot Swappable SAS 15Krpm </t>
  </si>
  <si>
    <t xml:space="preserve">300GB Hot Swappable SAS 10Krpm </t>
  </si>
  <si>
    <t xml:space="preserve">600GB Hot Swappable SAS 10Krpm  </t>
  </si>
  <si>
    <t xml:space="preserve">900GB Hot Swappable SAS 10Krpm </t>
  </si>
  <si>
    <t>300GB Hot Swappable SAS 15Krpm (12Gbps)</t>
    <phoneticPr fontId="2" type="noConversion"/>
  </si>
  <si>
    <t>600GB Hot Swappable SAS 15Krpm (12Gbps)</t>
    <phoneticPr fontId="2" type="noConversion"/>
  </si>
  <si>
    <t>18TB Hot Swappable SATA-III 7.2Krpm HDD</t>
  </si>
  <si>
    <t>20TB Hot Swappable SATA-III 7.2Krpm HDD</t>
  </si>
  <si>
    <t>HD-SA0006T</t>
  </si>
  <si>
    <t>HD-SA0008T</t>
  </si>
  <si>
    <t>HD-SA00010T</t>
  </si>
  <si>
    <t>HD-SA00012T</t>
  </si>
  <si>
    <t>HD-SA00014T</t>
  </si>
  <si>
    <t>HD-SA00016T</t>
  </si>
  <si>
    <t>HD-SA00018T</t>
    <phoneticPr fontId="2" type="noConversion"/>
  </si>
  <si>
    <t>HD-SA00020T</t>
    <phoneticPr fontId="2" type="noConversion"/>
  </si>
  <si>
    <t>HD-SS5K01T</t>
  </si>
  <si>
    <t>HD-SS5K02T</t>
  </si>
  <si>
    <t>HD-SS5K04T</t>
  </si>
  <si>
    <t>HD-SS5K06T</t>
  </si>
  <si>
    <t>HD-SS5K08T</t>
  </si>
  <si>
    <t>HD-SS5K010T</t>
  </si>
  <si>
    <t>HD-SS5K012T</t>
  </si>
  <si>
    <t>HD-SS5K014T</t>
  </si>
  <si>
    <t>HD-SS5K016T</t>
  </si>
  <si>
    <t>HD-SS5K018T</t>
  </si>
  <si>
    <t>HD-SS1K300</t>
  </si>
  <si>
    <t>HD-SS1K600</t>
  </si>
  <si>
    <t>HD-SS1K900</t>
  </si>
  <si>
    <t>HD-SS15K300</t>
  </si>
  <si>
    <t>HD-SS15K600</t>
  </si>
  <si>
    <t>HD-SS1K1200</t>
  </si>
  <si>
    <t>HD-SS1K1800</t>
    <phoneticPr fontId="2" type="noConversion"/>
  </si>
  <si>
    <t>HD-SS1K2400</t>
  </si>
  <si>
    <t>HD-SD00960T</t>
  </si>
  <si>
    <t>HD-SD19200T</t>
  </si>
  <si>
    <t>HD-SD03840T</t>
  </si>
  <si>
    <t>HD-SD07680T</t>
  </si>
  <si>
    <t>NC-2X00101</t>
  </si>
  <si>
    <t>NC-4X00101</t>
  </si>
  <si>
    <t>NC-2F00001</t>
  </si>
  <si>
    <t>NC-10GU0002</t>
  </si>
  <si>
    <t>NC-10GO0002</t>
  </si>
  <si>
    <t>HB-1016G01</t>
  </si>
  <si>
    <t>HB-2016G01</t>
  </si>
  <si>
    <t>워런티</t>
    <phoneticPr fontId="2" type="noConversion"/>
  </si>
  <si>
    <t>NIC</t>
    <phoneticPr fontId="2" type="noConversion"/>
  </si>
  <si>
    <t>HBA</t>
    <phoneticPr fontId="2" type="noConversion"/>
  </si>
  <si>
    <t>디스크</t>
    <phoneticPr fontId="2" type="noConversion"/>
  </si>
  <si>
    <t>SATA</t>
    <phoneticPr fontId="2" type="noConversion"/>
  </si>
  <si>
    <t>NL-SAS</t>
    <phoneticPr fontId="2" type="noConversion"/>
  </si>
  <si>
    <t>SAS</t>
    <phoneticPr fontId="2" type="noConversion"/>
  </si>
  <si>
    <t>SSD</t>
    <phoneticPr fontId="2" type="noConversion"/>
  </si>
  <si>
    <t>NW</t>
    <phoneticPr fontId="2" type="noConversion"/>
  </si>
  <si>
    <t>견적일</t>
    <phoneticPr fontId="2" type="noConversion"/>
  </si>
  <si>
    <t>IB</t>
    <phoneticPr fontId="2" type="noConversion"/>
  </si>
  <si>
    <t>NC-IB0001 Card</t>
  </si>
  <si>
    <t>NC-IB0002 Card</t>
  </si>
  <si>
    <t>NC-IB Cable</t>
  </si>
  <si>
    <t>워런티 1</t>
    <phoneticPr fontId="2" type="noConversion"/>
  </si>
  <si>
    <t>합계</t>
    <phoneticPr fontId="2" type="noConversion"/>
  </si>
  <si>
    <t>AnyStor500-4</t>
    <phoneticPr fontId="2" type="noConversion"/>
  </si>
  <si>
    <t>AnyStor500-4T</t>
    <phoneticPr fontId="2" type="noConversion"/>
  </si>
  <si>
    <t>AnyStor500-8</t>
    <phoneticPr fontId="2" type="noConversion"/>
  </si>
  <si>
    <t>AnyStor500-8T</t>
    <phoneticPr fontId="2" type="noConversion"/>
  </si>
  <si>
    <t>할인률</t>
    <phoneticPr fontId="2" type="noConversion"/>
  </si>
  <si>
    <t>*워런티 복제</t>
    <phoneticPr fontId="2" type="noConversion"/>
  </si>
  <si>
    <t>Part No.</t>
    <phoneticPr fontId="2" type="noConversion"/>
  </si>
  <si>
    <t>AR-0000LR1</t>
  </si>
  <si>
    <t>HA-GW00001</t>
  </si>
  <si>
    <t>SV-WT504-1Y</t>
  </si>
  <si>
    <t>SV-WT508-1Y</t>
  </si>
  <si>
    <t>SV-WT512-1Y</t>
  </si>
  <si>
    <t>SV-WT516-1Y</t>
  </si>
  <si>
    <t>SV-WT524-1Y</t>
  </si>
  <si>
    <t>SV-WT536-1Y</t>
  </si>
  <si>
    <t>SV-SUPRT-1T</t>
  </si>
  <si>
    <t>SV-MT50M-1Y</t>
  </si>
  <si>
    <t>SV-MT50Q-1Y</t>
  </si>
  <si>
    <t>SV-WTAG1-1Y</t>
  </si>
  <si>
    <t>SV-WTAG2-1Y</t>
  </si>
  <si>
    <t>SV-WTAG4-1Y</t>
  </si>
  <si>
    <t>SV-W2000T-1Y</t>
  </si>
  <si>
    <t>SV-MTGWM-1Y</t>
  </si>
  <si>
    <t>SV-MTGWQ-1Y</t>
  </si>
  <si>
    <t>010-3741-0869</t>
    <phoneticPr fontId="2" type="noConversion"/>
  </si>
  <si>
    <t>010-7520-9425</t>
    <phoneticPr fontId="2" type="noConversion"/>
  </si>
  <si>
    <t>010-3153-3327</t>
    <phoneticPr fontId="2" type="noConversion"/>
  </si>
  <si>
    <t>-</t>
    <phoneticPr fontId="2" type="noConversion"/>
  </si>
  <si>
    <t>건 명</t>
    <phoneticPr fontId="2" type="noConversion"/>
  </si>
  <si>
    <t>업체명</t>
    <phoneticPr fontId="2" type="noConversion"/>
  </si>
  <si>
    <t>담당자</t>
    <phoneticPr fontId="2" type="noConversion"/>
  </si>
  <si>
    <t>견적횟수</t>
    <phoneticPr fontId="2" type="noConversion"/>
  </si>
  <si>
    <t>AS500</t>
    <phoneticPr fontId="2" type="noConversion"/>
  </si>
  <si>
    <t>N</t>
    <phoneticPr fontId="2" type="noConversion"/>
  </si>
  <si>
    <t>E</t>
    <phoneticPr fontId="2" type="noConversion"/>
  </si>
  <si>
    <t>P</t>
    <phoneticPr fontId="2" type="noConversion"/>
  </si>
  <si>
    <t>PlugDISK</t>
    <phoneticPr fontId="2" type="noConversion"/>
  </si>
  <si>
    <t>타사 상품</t>
    <phoneticPr fontId="2" type="noConversion"/>
  </si>
  <si>
    <t>A</t>
    <phoneticPr fontId="2" type="noConversion"/>
  </si>
  <si>
    <t>GW</t>
    <phoneticPr fontId="2" type="noConversion"/>
  </si>
  <si>
    <t>G</t>
    <phoneticPr fontId="2" type="noConversion"/>
  </si>
  <si>
    <t>M</t>
    <phoneticPr fontId="2" type="noConversion"/>
  </si>
  <si>
    <t>견적번호 코드</t>
    <phoneticPr fontId="2" type="noConversion"/>
  </si>
  <si>
    <t>유지보수</t>
    <phoneticPr fontId="2" type="noConversion"/>
  </si>
  <si>
    <t>NAS</t>
    <phoneticPr fontId="2" type="noConversion"/>
  </si>
  <si>
    <t>Enterprise</t>
    <phoneticPr fontId="2" type="noConversion"/>
  </si>
  <si>
    <t>Gateway</t>
    <phoneticPr fontId="2" type="noConversion"/>
  </si>
  <si>
    <t>Alpha</t>
    <phoneticPr fontId="2" type="noConversion"/>
  </si>
  <si>
    <t>RAID</t>
    <phoneticPr fontId="2" type="noConversion"/>
  </si>
  <si>
    <t>용량</t>
    <phoneticPr fontId="2" type="noConversion"/>
  </si>
  <si>
    <t>RAID 종류</t>
    <phoneticPr fontId="2" type="noConversion"/>
  </si>
  <si>
    <t>Usable</t>
    <phoneticPr fontId="2" type="noConversion"/>
  </si>
  <si>
    <t>결과값</t>
    <phoneticPr fontId="2" type="noConversion"/>
  </si>
  <si>
    <t xml:space="preserve"> RAID5</t>
    <phoneticPr fontId="2" type="noConversion"/>
  </si>
  <si>
    <t xml:space="preserve"> RAID6</t>
    <phoneticPr fontId="2" type="noConversion"/>
  </si>
  <si>
    <t>010-1234-5678</t>
    <phoneticPr fontId="2" type="noConversion"/>
  </si>
  <si>
    <t>Intel Xeon Processor Multi core * 2ea</t>
  </si>
  <si>
    <t>Intel Xeon Processor Multi core * 2ea</t>
    <phoneticPr fontId="9" type="noConversion"/>
  </si>
  <si>
    <t>*4 or 8베이의 경우 파워나 CPU를 Single로 구성한다면 왼쪽에서 해당 파트를 Single로 바꿔주세요</t>
    <phoneticPr fontId="2" type="noConversion"/>
  </si>
  <si>
    <t>2. 디스크나 NIC등 추가 입력이 필요하시다면 추가로 셀 삽입하여 해당부분을 복사한 뒤 고르시면 됩니다.</t>
    <phoneticPr fontId="2" type="noConversion"/>
  </si>
  <si>
    <t>3. 할인률을 입력해주세요</t>
    <phoneticPr fontId="2" type="noConversion"/>
  </si>
  <si>
    <t>4. 작성을 다 마치셨으면 세부내역과 수량 부분만 지워주세요(수식 유지)</t>
    <phoneticPr fontId="2" type="noConversion"/>
  </si>
  <si>
    <t>**기본적으로 견적 툴은 왼쪽의 양식을 직접 작성하지 않아도 되게 만들어졌습니다.</t>
    <phoneticPr fontId="2" type="noConversion"/>
  </si>
  <si>
    <t>0. 새 통합문서 버튼을 클릭 후 작성해주세요</t>
    <phoneticPr fontId="2" type="noConversion"/>
  </si>
  <si>
    <t>5-1. 엑셀로 내보내야 하는 경우 A~I열까지 복사 후 선택하여 붙여넣기(값만) 하신 뒤에 K~S열까지 지워주세요</t>
    <phoneticPr fontId="2" type="noConversion"/>
  </si>
  <si>
    <t>6. 엑셀 파일 종료하실 때는 저장하지 말아주세요</t>
    <phoneticPr fontId="2" type="noConversion"/>
  </si>
  <si>
    <t>1. 세부내역(각 파트의 1번부터) 고르고 수량을 입력해주세요 (입력이 필요한 부분은 굵은 글씨 처리했습니다.)</t>
    <phoneticPr fontId="2" type="noConversion"/>
  </si>
  <si>
    <t>5. PDF로 출력되는 구역을 설정해뒀으니 걱정하지 마세요. (견적 툴은 PDF로 출력되지 않습니다.)</t>
    <phoneticPr fontId="2" type="noConversion"/>
  </si>
  <si>
    <t xml:space="preserve"> User전용네트워크디스크</t>
    <phoneticPr fontId="5" type="noConversion"/>
  </si>
  <si>
    <t xml:space="preserve"> 사용자의 작업내역 기록</t>
    <phoneticPr fontId="5" type="noConversion"/>
  </si>
  <si>
    <t xml:space="preserve"> PC 부팅과 동시에 디스크 드라이브로 연결됨</t>
    <phoneticPr fontId="5" type="noConversion"/>
  </si>
  <si>
    <t xml:space="preserve"> 조직도를 이용하여 편리하게 공유 설정 </t>
    <phoneticPr fontId="5" type="noConversion"/>
  </si>
  <si>
    <t xml:space="preserve"> 회사 내외부에서 로컬디스크로 사용</t>
    <phoneticPr fontId="5" type="noConversion"/>
  </si>
  <si>
    <t xml:space="preserve"> 개인 및 회사의 중요데이타 보관</t>
    <phoneticPr fontId="5" type="noConversion"/>
  </si>
  <si>
    <t xml:space="preserve"> 인터넷환경에서 로컬디스크처럼 사용 가능 </t>
    <phoneticPr fontId="5" type="noConversion"/>
  </si>
  <si>
    <t xml:space="preserve"> 전송구간 암호화로 안전하게 데이터 전달</t>
    <phoneticPr fontId="5" type="noConversion"/>
  </si>
  <si>
    <t>PD-7001004</t>
  </si>
  <si>
    <t>PlugDISK AP- 4</t>
  </si>
  <si>
    <t>PD-7001008</t>
  </si>
  <si>
    <t>PlugDISK AP- 8</t>
  </si>
  <si>
    <t>PD-7001012</t>
  </si>
  <si>
    <t>PlugDISK AP-12</t>
  </si>
  <si>
    <t>PD-7001016</t>
  </si>
  <si>
    <t>PlugDISK AP-16</t>
  </si>
  <si>
    <t>PD-7001024</t>
  </si>
  <si>
    <t>PlugDISK AP-24</t>
  </si>
  <si>
    <t>PD-7001036</t>
  </si>
  <si>
    <t>PlugDISK AP-36</t>
  </si>
  <si>
    <t>AnyStor NAS Gateway</t>
  </si>
  <si>
    <t xml:space="preserve">NAS O/S Mirroring </t>
  </si>
  <si>
    <t>8Gb FC Interface * 2 Port</t>
  </si>
  <si>
    <t>16Gb FC Interface * 2 Port</t>
    <phoneticPr fontId="2" type="noConversion"/>
  </si>
  <si>
    <t>1G RJ45 LOM 4Port</t>
    <phoneticPr fontId="9" type="noConversion"/>
  </si>
  <si>
    <t>*워런티 HA</t>
    <phoneticPr fontId="2" type="noConversion"/>
  </si>
  <si>
    <t>AS8120</t>
    <phoneticPr fontId="2" type="noConversion"/>
  </si>
  <si>
    <t>AS8220</t>
    <phoneticPr fontId="2" type="noConversion"/>
  </si>
  <si>
    <t>AS8140-C</t>
    <phoneticPr fontId="2" type="noConversion"/>
  </si>
  <si>
    <t>AS8240-C</t>
    <phoneticPr fontId="2" type="noConversion"/>
  </si>
  <si>
    <t>내선번호</t>
    <phoneticPr fontId="2" type="noConversion"/>
  </si>
  <si>
    <t>AS8110</t>
    <phoneticPr fontId="2" type="noConversion"/>
  </si>
  <si>
    <t>AS8210</t>
    <phoneticPr fontId="2" type="noConversion"/>
  </si>
  <si>
    <t>1U 1P</t>
    <phoneticPr fontId="2" type="noConversion"/>
  </si>
  <si>
    <t>1U 2P</t>
    <phoneticPr fontId="2" type="noConversion"/>
  </si>
  <si>
    <t>2U 1P</t>
    <phoneticPr fontId="2" type="noConversion"/>
  </si>
  <si>
    <t>2U 2P</t>
    <phoneticPr fontId="2" type="noConversion"/>
  </si>
  <si>
    <t>1U 2P * 2ea</t>
    <phoneticPr fontId="2" type="noConversion"/>
  </si>
  <si>
    <t>2U 2P * 2ea</t>
    <phoneticPr fontId="2" type="noConversion"/>
  </si>
  <si>
    <t>AS8320</t>
    <phoneticPr fontId="2" type="noConversion"/>
  </si>
  <si>
    <t>3U 2P</t>
    <phoneticPr fontId="2" type="noConversion"/>
  </si>
  <si>
    <t>3U 4P</t>
    <phoneticPr fontId="2" type="noConversion"/>
  </si>
  <si>
    <t>AS8340</t>
    <phoneticPr fontId="2" type="noConversion"/>
  </si>
  <si>
    <t>AS8380-C</t>
    <phoneticPr fontId="2" type="noConversion"/>
  </si>
  <si>
    <t>3U 4P * 2ea</t>
    <phoneticPr fontId="2" type="noConversion"/>
  </si>
  <si>
    <t>GW 모델 분류</t>
    <phoneticPr fontId="2" type="noConversion"/>
  </si>
  <si>
    <t>2U</t>
    <phoneticPr fontId="2" type="noConversion"/>
  </si>
  <si>
    <t>3U</t>
    <phoneticPr fontId="2" type="noConversion"/>
  </si>
  <si>
    <t>PlugDISk</t>
    <phoneticPr fontId="2" type="noConversion"/>
  </si>
  <si>
    <t>One time Support Call Charge 
(장애처리 외 Gluesys Engineer 기술 지원 시) - 기본 4시간</t>
    <phoneticPr fontId="2" type="noConversion"/>
  </si>
  <si>
    <t>One time Support Call Charge
(장애처리 외 Gluesys Engineer 기술 지원 시) - 기본 4시간</t>
    <phoneticPr fontId="2" type="noConversion"/>
  </si>
  <si>
    <t>4U</t>
    <phoneticPr fontId="2" type="noConversion"/>
  </si>
  <si>
    <t>HBA/IB</t>
    <phoneticPr fontId="2" type="noConversion"/>
  </si>
  <si>
    <t>세부내역</t>
    <phoneticPr fontId="2" type="noConversion"/>
  </si>
  <si>
    <r>
      <t xml:space="preserve">*4 or 8베이의 경우 CPU나 파워를 </t>
    </r>
    <r>
      <rPr>
        <sz val="10"/>
        <color rgb="FFFF0000"/>
        <rFont val="맑은 고딕"/>
        <family val="3"/>
        <charset val="129"/>
        <scheme val="minor"/>
      </rPr>
      <t>Single</t>
    </r>
    <r>
      <rPr>
        <sz val="10"/>
        <color theme="1"/>
        <rFont val="맑은 고딕"/>
        <family val="3"/>
        <charset val="129"/>
        <scheme val="minor"/>
      </rPr>
      <t>로 구성한다면 왼쪽에서 해당 내용을 Single로 바꿔주세요</t>
    </r>
    <phoneticPr fontId="2" type="noConversion"/>
  </si>
  <si>
    <r>
      <t xml:space="preserve">0. </t>
    </r>
    <r>
      <rPr>
        <b/>
        <sz val="10"/>
        <color rgb="FFFF0000"/>
        <rFont val="맑은 고딕"/>
        <family val="3"/>
        <charset val="129"/>
        <scheme val="minor"/>
      </rPr>
      <t>새 통합문서 버튼</t>
    </r>
    <r>
      <rPr>
        <sz val="10"/>
        <rFont val="맑은 고딕"/>
        <family val="3"/>
        <charset val="129"/>
        <scheme val="minor"/>
      </rPr>
      <t>을 클릭 후 작성해주세요</t>
    </r>
    <phoneticPr fontId="2" type="noConversion"/>
  </si>
  <si>
    <t>Maintenance</t>
    <phoneticPr fontId="2" type="noConversion"/>
  </si>
  <si>
    <t>AnyStor5000D</t>
    <phoneticPr fontId="2" type="noConversion"/>
  </si>
  <si>
    <t>AnyStor Clustering License for NAS G/W</t>
  </si>
  <si>
    <t>AnyStor Clustering License for NAS G/W</t>
    <phoneticPr fontId="2" type="noConversion"/>
  </si>
  <si>
    <t>*옵션 SW</t>
    <phoneticPr fontId="2" type="noConversion"/>
  </si>
  <si>
    <t>*옵션SW</t>
    <phoneticPr fontId="2" type="noConversion"/>
  </si>
  <si>
    <t>세트</t>
    <phoneticPr fontId="2" type="noConversion"/>
  </si>
  <si>
    <t>1year warranty for AnyStor GW Single</t>
    <phoneticPr fontId="2" type="noConversion"/>
  </si>
  <si>
    <t>옵션SW</t>
    <phoneticPr fontId="2" type="noConversion"/>
  </si>
  <si>
    <t>1year warranty for AnyStor GW Cluster</t>
    <phoneticPr fontId="2" type="noConversion"/>
  </si>
  <si>
    <t>1year warranty for AnyStor GW 7400</t>
    <phoneticPr fontId="2" type="noConversion"/>
  </si>
  <si>
    <t>1 Port 16G Fibre Channel Interface</t>
    <phoneticPr fontId="2" type="noConversion"/>
  </si>
  <si>
    <t>2 Port 16G Fibre Channel Interface</t>
    <phoneticPr fontId="2" type="noConversion"/>
  </si>
  <si>
    <t>2 Port 1G Network Interface(UTP)</t>
    <phoneticPr fontId="2" type="noConversion"/>
  </si>
  <si>
    <t>4 Port 1G Network Interface(UTP)</t>
    <phoneticPr fontId="2" type="noConversion"/>
  </si>
  <si>
    <t>2 Port 1G Network Interface(Optic)</t>
    <phoneticPr fontId="2" type="noConversion"/>
  </si>
  <si>
    <t>PD</t>
    <phoneticPr fontId="2" type="noConversion"/>
  </si>
  <si>
    <t>SV-WTP04-1Y</t>
  </si>
  <si>
    <t>SV-WTP08-1Y</t>
  </si>
  <si>
    <t>SV-WTP12-1Y</t>
  </si>
  <si>
    <t>SV-WTP16-1Y</t>
  </si>
  <si>
    <t>SV-WTP24-1Y</t>
  </si>
  <si>
    <t>SV-WTP36-1Y</t>
  </si>
  <si>
    <t>1year warranty for AP-4</t>
  </si>
  <si>
    <t>1year warranty for AP-8</t>
  </si>
  <si>
    <t>1year warranty for AP-12</t>
  </si>
  <si>
    <t>1year warranty for AP-16</t>
  </si>
  <si>
    <t>1year warranty for AP-24</t>
  </si>
  <si>
    <t>1year warranty for AP-36</t>
  </si>
  <si>
    <t>1year Maintenance Service for AP (월 정기점검)</t>
    <phoneticPr fontId="2" type="noConversion"/>
  </si>
  <si>
    <t>1year Maintenance Service for AP (분기 정기점검)</t>
    <phoneticPr fontId="2" type="noConversion"/>
  </si>
  <si>
    <t>SV-MTAPM-1Y</t>
    <phoneticPr fontId="2" type="noConversion"/>
  </si>
  <si>
    <t>SV-MTAPQ-1Y</t>
    <phoneticPr fontId="2" type="noConversion"/>
  </si>
  <si>
    <t>1G RJ45 LOM 2Port</t>
    <phoneticPr fontId="9" type="noConversion"/>
  </si>
  <si>
    <t>AnyStor NAS</t>
    <phoneticPr fontId="2" type="noConversion"/>
  </si>
  <si>
    <r>
      <t xml:space="preserve">* </t>
    </r>
    <r>
      <rPr>
        <b/>
        <sz val="9"/>
        <color theme="1"/>
        <rFont val="맑은 고딕"/>
        <family val="3"/>
        <charset val="129"/>
        <scheme val="minor"/>
      </rPr>
      <t>견적번호</t>
    </r>
    <r>
      <rPr>
        <sz val="9"/>
        <color theme="1"/>
        <rFont val="맑은 고딕"/>
        <family val="2"/>
        <charset val="129"/>
        <scheme val="minor"/>
      </rPr>
      <t xml:space="preserve"> : GLS + 날짜 + 할인률 + 개인 내선번호 뒷자리 + 횟수 + (내부코드) / 자동계산</t>
    </r>
    <phoneticPr fontId="2" type="noConversion"/>
  </si>
  <si>
    <t>세트</t>
    <phoneticPr fontId="2" type="noConversion"/>
  </si>
  <si>
    <t>1year warranty for AnyStor GW Cluster</t>
  </si>
  <si>
    <t>STORAGE</t>
    <phoneticPr fontId="2" type="noConversion"/>
  </si>
  <si>
    <t>DISK Array</t>
    <phoneticPr fontId="2" type="noConversion"/>
  </si>
  <si>
    <t>SV-WTA3S-1Y</t>
    <phoneticPr fontId="2" type="noConversion"/>
  </si>
  <si>
    <t>AS3000S</t>
    <phoneticPr fontId="2" type="noConversion"/>
  </si>
  <si>
    <t>AS3000D</t>
    <phoneticPr fontId="2" type="noConversion"/>
  </si>
  <si>
    <t>SV-WTA3D-1Y</t>
    <phoneticPr fontId="2" type="noConversion"/>
  </si>
  <si>
    <t>One time Support Call Charge
(장애처리 외 Gluesys Engineer 기술 지원 시) - 기본 4시간</t>
  </si>
  <si>
    <t>1year warranty for AnyStor GW AS3000S</t>
    <phoneticPr fontId="2" type="noConversion"/>
  </si>
  <si>
    <t>1year warranty for AnyStor GW AS3000D</t>
    <phoneticPr fontId="2" type="noConversion"/>
  </si>
  <si>
    <t>1year Maintenance Service for AnyStor 3000 (분기 정기점검)</t>
    <phoneticPr fontId="2" type="noConversion"/>
  </si>
  <si>
    <t>1year Maintenance Service for AnyStor 3000 (월 정기점검)</t>
    <phoneticPr fontId="2" type="noConversion"/>
  </si>
  <si>
    <t>Option (S/W)</t>
    <phoneticPr fontId="2" type="noConversion"/>
  </si>
  <si>
    <t>Option (H/W)</t>
    <phoneticPr fontId="2" type="noConversion"/>
  </si>
  <si>
    <t>AnyStor 8110</t>
    <phoneticPr fontId="2" type="noConversion"/>
  </si>
  <si>
    <t>AnyStor 8120</t>
    <phoneticPr fontId="2" type="noConversion"/>
  </si>
  <si>
    <t>AnyStor 8210</t>
    <phoneticPr fontId="2" type="noConversion"/>
  </si>
  <si>
    <t>AnyStor 8220</t>
    <phoneticPr fontId="2" type="noConversion"/>
  </si>
  <si>
    <t>AnyStor 8320</t>
    <phoneticPr fontId="2" type="noConversion"/>
  </si>
  <si>
    <t>AnyStor 8340</t>
    <phoneticPr fontId="2" type="noConversion"/>
  </si>
  <si>
    <t>AG10-NC010</t>
    <phoneticPr fontId="2" type="noConversion"/>
  </si>
  <si>
    <t>AG10-NC020</t>
    <phoneticPr fontId="2" type="noConversion"/>
  </si>
  <si>
    <t>AG20-SC010</t>
    <phoneticPr fontId="2" type="noConversion"/>
  </si>
  <si>
    <t>AG20-SC020</t>
    <phoneticPr fontId="2" type="noConversion"/>
  </si>
  <si>
    <t>AG30-EC020</t>
    <phoneticPr fontId="2" type="noConversion"/>
  </si>
  <si>
    <t>AG30-EC040</t>
    <phoneticPr fontId="2" type="noConversion"/>
  </si>
  <si>
    <t>2P+</t>
    <phoneticPr fontId="2" type="noConversion"/>
  </si>
  <si>
    <t>1P+</t>
    <phoneticPr fontId="2" type="noConversion"/>
  </si>
  <si>
    <t>GW Single</t>
    <phoneticPr fontId="2" type="noConversion"/>
  </si>
  <si>
    <t>GW Cluster</t>
    <phoneticPr fontId="2" type="noConversion"/>
  </si>
  <si>
    <t>CPU Upgrade</t>
    <phoneticPr fontId="2" type="noConversion"/>
  </si>
  <si>
    <t>Gold</t>
    <phoneticPr fontId="2" type="noConversion"/>
  </si>
  <si>
    <t>Platinum</t>
    <phoneticPr fontId="2" type="noConversion"/>
  </si>
  <si>
    <t>클러스터</t>
    <phoneticPr fontId="2" type="noConversion"/>
  </si>
  <si>
    <t>CPU upgrade to Gold</t>
  </si>
  <si>
    <t>CPU upgrade to Gold</t>
    <phoneticPr fontId="2" type="noConversion"/>
  </si>
  <si>
    <t>CPU upgrade to Platinum</t>
    <phoneticPr fontId="2" type="noConversion"/>
  </si>
  <si>
    <t>CPU 업글</t>
    <phoneticPr fontId="2" type="noConversion"/>
  </si>
  <si>
    <t>스페어 디스크</t>
    <phoneticPr fontId="2" type="noConversion"/>
  </si>
  <si>
    <t>삼성전자</t>
    <phoneticPr fontId="2" type="noConversion"/>
  </si>
  <si>
    <t>이재용 대표</t>
    <phoneticPr fontId="2" type="noConversion"/>
  </si>
  <si>
    <t>삼성전자 NAS 제안 건</t>
    <phoneticPr fontId="2" type="noConversion"/>
  </si>
  <si>
    <t>1U 1CPU</t>
    <phoneticPr fontId="2" type="noConversion"/>
  </si>
  <si>
    <t>1U 2CPU</t>
    <phoneticPr fontId="2" type="noConversion"/>
  </si>
  <si>
    <t>2U 1CPU</t>
    <phoneticPr fontId="2" type="noConversion"/>
  </si>
  <si>
    <t>2U 2CPU</t>
    <phoneticPr fontId="2" type="noConversion"/>
  </si>
  <si>
    <t>*클러스터는 수량 2로 바꿔주세요</t>
    <phoneticPr fontId="2" type="noConversion"/>
  </si>
  <si>
    <t>총 디스크 수량</t>
    <phoneticPr fontId="2" type="noConversion"/>
  </si>
  <si>
    <t>RAID 계산기</t>
    <phoneticPr fontId="2" type="noConversion"/>
  </si>
  <si>
    <t>할인률</t>
    <phoneticPr fontId="2" type="noConversion"/>
  </si>
  <si>
    <t>합계</t>
    <phoneticPr fontId="2" type="noConversion"/>
  </si>
  <si>
    <t>공급단가</t>
    <phoneticPr fontId="2" type="noConversion"/>
  </si>
  <si>
    <t>소비자단가</t>
    <phoneticPr fontId="2" type="noConversion"/>
  </si>
  <si>
    <r>
      <t xml:space="preserve">0. </t>
    </r>
    <r>
      <rPr>
        <sz val="10"/>
        <color rgb="FFFF0000"/>
        <rFont val="맑은 고딕"/>
        <family val="3"/>
        <charset val="129"/>
        <scheme val="minor"/>
      </rPr>
      <t>새 통합문서 버튼</t>
    </r>
    <r>
      <rPr>
        <sz val="10"/>
        <rFont val="맑은 고딕"/>
        <family val="3"/>
        <charset val="129"/>
        <scheme val="minor"/>
      </rPr>
      <t>을 클릭 후 작성</t>
    </r>
    <phoneticPr fontId="2" type="noConversion"/>
  </si>
  <si>
    <t>1. 세부내역(각 파트의 1번부터) 고르고 수량을 입력</t>
    <phoneticPr fontId="2" type="noConversion"/>
  </si>
  <si>
    <t>2. 디스크나 NIC등 추가 입력이 필요 시, 추가로 셀 삽입하여 해당부분을 복사한 뒤 입력</t>
    <phoneticPr fontId="2" type="noConversion"/>
  </si>
  <si>
    <r>
      <t>5.</t>
    </r>
    <r>
      <rPr>
        <sz val="10"/>
        <color rgb="FFFF0000"/>
        <rFont val="맑은 고딕"/>
        <family val="3"/>
        <charset val="129"/>
        <scheme val="minor"/>
      </rPr>
      <t xml:space="preserve"> PDF</t>
    </r>
    <r>
      <rPr>
        <sz val="10"/>
        <color theme="1"/>
        <rFont val="맑은 고딕"/>
        <family val="3"/>
        <charset val="129"/>
        <scheme val="minor"/>
      </rPr>
      <t xml:space="preserve">로 출력되는 </t>
    </r>
    <r>
      <rPr>
        <sz val="10"/>
        <color rgb="FFFF0000"/>
        <rFont val="맑은 고딕"/>
        <family val="3"/>
        <charset val="129"/>
        <scheme val="minor"/>
      </rPr>
      <t>구역을 설정</t>
    </r>
    <r>
      <rPr>
        <sz val="10"/>
        <color theme="1"/>
        <rFont val="맑은 고딕"/>
        <family val="3"/>
        <charset val="129"/>
        <scheme val="minor"/>
      </rPr>
      <t>해뒀으니 PDF로 바로 내보내셔도 됩니다. (견적 툴은 PDF로 출력되지 않습니다.)</t>
    </r>
    <phoneticPr fontId="2" type="noConversion"/>
  </si>
  <si>
    <t>5-1. 엑셀로 내보내야 하는 경우 견적서 수식 초기화 버튼 클릭 후 견적 툴 삭제 버튼 클릭</t>
    <phoneticPr fontId="2" type="noConversion"/>
  </si>
  <si>
    <t>4. 할인률 입력</t>
    <phoneticPr fontId="2" type="noConversion"/>
  </si>
  <si>
    <t>3. 디스크의 경우 RAID계산기 사용하여 수량 계산(자동으로 수량 계산)</t>
    <phoneticPr fontId="2" type="noConversion"/>
  </si>
  <si>
    <t>6. 견적 양식 파일 종료하실 때는 저장X</t>
    <phoneticPr fontId="2" type="noConversion"/>
  </si>
  <si>
    <t>Usable 디스크 수량</t>
    <phoneticPr fontId="2" type="noConversion"/>
  </si>
  <si>
    <t>CPU 업글</t>
    <phoneticPr fontId="2" type="noConversion"/>
  </si>
  <si>
    <t>CPU upgrade to Platinum</t>
  </si>
  <si>
    <t>DB Inc 클라우드 구축 사업 NAS 제안 건</t>
    <phoneticPr fontId="2" type="noConversion"/>
  </si>
  <si>
    <t>2 Port 16G Fibre Channel Interface</t>
  </si>
  <si>
    <t>1year warranty for AnyStor GW AS3000D</t>
  </si>
  <si>
    <t>Storage : 32TB</t>
    <phoneticPr fontId="9" type="noConversion"/>
  </si>
  <si>
    <t xml:space="preserve"> RAID5</t>
  </si>
  <si>
    <t>- 1.92TB SSD * 24ea</t>
    <phoneticPr fontId="9" type="noConversion"/>
  </si>
  <si>
    <t>추정치</t>
    <phoneticPr fontId="2" type="noConversion"/>
  </si>
  <si>
    <t>650, 32G, GOLD, 128G</t>
    <phoneticPr fontId="2" type="noConversion"/>
  </si>
  <si>
    <t>1 Port 32G Fibre Channel Interface</t>
    <phoneticPr fontId="2" type="noConversion"/>
  </si>
  <si>
    <t>2 Port 32G Fibre Channel Interface</t>
    <phoneticPr fontId="2" type="noConversion"/>
  </si>
  <si>
    <t>HB-1032G01</t>
    <phoneticPr fontId="2" type="noConversion"/>
  </si>
  <si>
    <t>HB-2032G01</t>
    <phoneticPr fontId="2" type="noConversion"/>
  </si>
  <si>
    <t>HBA/IB 1</t>
    <phoneticPr fontId="2" type="noConversion"/>
  </si>
  <si>
    <t>HBA/IB 2</t>
    <phoneticPr fontId="2" type="noConversion"/>
  </si>
  <si>
    <t>2 Port 1G Network Interface(UTP)</t>
  </si>
  <si>
    <r>
      <t>AnyStor NAS 전용 O/S(</t>
    </r>
    <r>
      <rPr>
        <b/>
        <sz val="8"/>
        <color indexed="10"/>
        <rFont val="맑은 고딕"/>
        <family val="3"/>
        <charset val="129"/>
      </rPr>
      <t>GS인증</t>
    </r>
    <r>
      <rPr>
        <b/>
        <sz val="8"/>
        <rFont val="맑은 고딕"/>
        <family val="3"/>
        <charset val="129"/>
      </rPr>
      <t>)</t>
    </r>
    <phoneticPr fontId="9" type="noConversion"/>
  </si>
  <si>
    <t>영일</t>
    <phoneticPr fontId="2" type="noConversion"/>
  </si>
  <si>
    <t>영일 PlugDISK AP-04 제안 건</t>
    <phoneticPr fontId="2" type="noConversion"/>
  </si>
  <si>
    <t>이사 박 근 식</t>
    <phoneticPr fontId="2" type="noConversion"/>
  </si>
  <si>
    <t>이사 허 남 중</t>
    <phoneticPr fontId="2" type="noConversion"/>
  </si>
  <si>
    <t>이사 김 재 호</t>
    <phoneticPr fontId="2" type="noConversion"/>
  </si>
  <si>
    <t>대리 우 동 현</t>
    <phoneticPr fontId="2" type="noConversion"/>
  </si>
  <si>
    <t>대리 김 정</t>
    <phoneticPr fontId="2" type="noConversion"/>
  </si>
  <si>
    <t>천단위절사</t>
    <phoneticPr fontId="2" type="noConversion"/>
  </si>
  <si>
    <t>이사 허 남 중</t>
  </si>
  <si>
    <t>이사 박 근 식</t>
  </si>
  <si>
    <t>LG히다찌</t>
    <phoneticPr fontId="2" type="noConversion"/>
  </si>
  <si>
    <t>한화생명 녹취시스템 구축 NAS GW 제안 건</t>
    <phoneticPr fontId="2" type="noConversion"/>
  </si>
  <si>
    <t>AnyStor Volume Replicator for Local or Remote</t>
    <phoneticPr fontId="2" type="noConversion"/>
  </si>
  <si>
    <t xml:space="preserve">운영 - AnyStor NAS Gateway Cluster : AnyStor 8140-C
DR - AnyStor NAS Gateway : AnyStor 8120 </t>
    <phoneticPr fontId="2" type="noConversion"/>
  </si>
  <si>
    <t>1. 무상유지보수 기간은 1년(12개월)입니다.</t>
    <phoneticPr fontId="2" type="noConversion"/>
  </si>
  <si>
    <t>4 Port 10G NIC(Optic) / 10G Only</t>
    <phoneticPr fontId="2" type="noConversion"/>
  </si>
  <si>
    <t>1year warranty for AnyStor GW</t>
    <phoneticPr fontId="2" type="noConversion"/>
  </si>
  <si>
    <t>SV-WTAG1-1Y</t>
    <phoneticPr fontId="2" type="noConversion"/>
  </si>
  <si>
    <t xml:space="preserve">1.2TB Hot Swappable SAS 10Krpm </t>
    <phoneticPr fontId="2" type="noConversion"/>
  </si>
  <si>
    <t xml:space="preserve">1.8TB Hot Swappable SAS 10Krpm </t>
    <phoneticPr fontId="2" type="noConversion"/>
  </si>
  <si>
    <t xml:space="preserve">2.4TB Hot Swappable SAS 10Krpm </t>
    <phoneticPr fontId="2" type="noConversion"/>
  </si>
  <si>
    <t>하람정보</t>
    <phoneticPr fontId="2" type="noConversion"/>
  </si>
  <si>
    <t>정영호 상무</t>
    <phoneticPr fontId="2" type="noConversion"/>
  </si>
  <si>
    <t>010-5497-7770</t>
    <phoneticPr fontId="2" type="noConversion"/>
  </si>
  <si>
    <t>Usable 100TB NL-SAS 제안 건</t>
    <phoneticPr fontId="2" type="noConversion"/>
  </si>
  <si>
    <t>7.68TB SSD Hot Swappable Disk</t>
    <phoneticPr fontId="2" type="noConversion"/>
  </si>
  <si>
    <t>AS500</t>
    <phoneticPr fontId="2" type="noConversion"/>
  </si>
  <si>
    <t>AS700E</t>
    <phoneticPr fontId="2" type="noConversion"/>
  </si>
  <si>
    <t>PlugDISK</t>
    <phoneticPr fontId="2" type="noConversion"/>
  </si>
  <si>
    <t>GW</t>
    <phoneticPr fontId="2" type="noConversion"/>
  </si>
  <si>
    <t>AS500
일체형</t>
    <phoneticPr fontId="2" type="noConversion"/>
  </si>
  <si>
    <t>1U</t>
    <phoneticPr fontId="2" type="noConversion"/>
  </si>
  <si>
    <t>AS8110</t>
    <phoneticPr fontId="2" type="noConversion"/>
  </si>
  <si>
    <t>AnyStor 8210</t>
  </si>
  <si>
    <t xml:space="preserve">       TEL : 070-8787-5376     FAX : 031-388-3261     http://www.gluesys.com</t>
    <phoneticPr fontId="5" type="noConversion"/>
  </si>
  <si>
    <t>Intel Xeon Processor Multi core * 2ea</t>
    <phoneticPr fontId="9" type="noConversion"/>
  </si>
  <si>
    <t>대리 우 동 현</t>
    <phoneticPr fontId="2" type="noConversion"/>
  </si>
  <si>
    <t>AnyStor500-4</t>
  </si>
  <si>
    <t>1year warranty for AS500-24</t>
    <phoneticPr fontId="2" type="noConversion"/>
  </si>
  <si>
    <t>AnyStor Volume Replicator for Local or Remote</t>
    <phoneticPr fontId="2" type="noConversion"/>
  </si>
  <si>
    <t>AnyStor Clustering License for NAS G/W</t>
    <phoneticPr fontId="2" type="noConversion"/>
  </si>
  <si>
    <t>1 Port 16G Fibre Channel Interface</t>
    <phoneticPr fontId="2" type="noConversion"/>
  </si>
  <si>
    <t>AnyStor Clustering License for 3000, 5000, 7000</t>
    <phoneticPr fontId="2" type="noConversion"/>
  </si>
  <si>
    <t>AnyStor Volume Replicator for Local or Remote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</si>
</sst>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&quot;₩&quot;#,##0"/>
    <numFmt numFmtId="177" formatCode="yyyy&quot;년&quot;\ m&quot;월&quot;\ d&quot;일&quot;;@"/>
    <numFmt numFmtId="178" formatCode="#,##0_);[Red]\(#,##0\)"/>
    <numFmt numFmtId="179" formatCode="&quot;₩&quot;#,##0.00"/>
  </numFmts>
  <fonts count="3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9"/>
      <color indexed="8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8"/>
      <name val="돋움"/>
      <family val="3"/>
      <charset val="129"/>
    </font>
    <font>
      <b/>
      <sz val="9"/>
      <color indexed="8"/>
      <name val="맑은 고딕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6"/>
      <color indexed="8"/>
      <name val="맑은 고딕"/>
      <family val="3"/>
      <charset val="129"/>
    </font>
    <font>
      <sz val="11"/>
      <name val="돋움"/>
      <family val="3"/>
      <charset val="129"/>
    </font>
    <font>
      <b/>
      <sz val="9"/>
      <name val="맑은 고딕"/>
      <family val="3"/>
      <charset val="129"/>
      <scheme val="minor"/>
    </font>
    <font>
      <sz val="10"/>
      <name val="Helv"/>
      <family val="2"/>
    </font>
    <font>
      <sz val="8"/>
      <name val="맑은 고딕"/>
      <family val="3"/>
      <charset val="129"/>
      <scheme val="minor"/>
    </font>
    <font>
      <sz val="12"/>
      <name val="바탕체"/>
      <family val="1"/>
      <charset val="129"/>
    </font>
    <font>
      <b/>
      <sz val="8"/>
      <name val="맑은 고딕"/>
      <family val="3"/>
      <charset val="129"/>
      <scheme val="minor"/>
    </font>
    <font>
      <sz val="8"/>
      <color rgb="FF000000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2"/>
      <color rgb="FFA01A5C"/>
      <name val="Arial"/>
      <family val="2"/>
    </font>
    <font>
      <sz val="1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8"/>
      <color indexed="10"/>
      <name val="맑은 고딕"/>
      <family val="3"/>
      <charset val="129"/>
    </font>
    <font>
      <b/>
      <sz val="8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 style="double">
        <color indexed="64"/>
      </diagonal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 diagonalDown="1"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 style="double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5" fillId="0" borderId="0"/>
    <xf numFmtId="0" fontId="17" fillId="0" borderId="0"/>
    <xf numFmtId="41" fontId="13" fillId="0" borderId="0" applyFont="0" applyFill="0" applyBorder="0" applyAlignment="0" applyProtection="0"/>
    <xf numFmtId="0" fontId="3" fillId="0" borderId="0">
      <alignment vertical="center"/>
    </xf>
    <xf numFmtId="0" fontId="13" fillId="0" borderId="0">
      <alignment vertical="center"/>
    </xf>
  </cellStyleXfs>
  <cellXfs count="3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24" xfId="0" applyBorder="1">
      <alignment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3" fillId="7" borderId="35" xfId="0" applyFont="1" applyFill="1" applyBorder="1" applyAlignment="1">
      <alignment horizontal="center" vertical="center"/>
    </xf>
    <xf numFmtId="0" fontId="23" fillId="7" borderId="36" xfId="0" applyFont="1" applyFill="1" applyBorder="1" applyAlignment="1">
      <alignment horizontal="center" vertical="center"/>
    </xf>
    <xf numFmtId="0" fontId="23" fillId="7" borderId="37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79" fontId="0" fillId="0" borderId="0" xfId="0" applyNumberFormat="1">
      <alignment vertical="center"/>
    </xf>
    <xf numFmtId="0" fontId="4" fillId="2" borderId="0" xfId="3" applyFont="1" applyFill="1" applyProtection="1">
      <alignment vertical="center"/>
      <protection locked="0"/>
    </xf>
    <xf numFmtId="0" fontId="22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25" fillId="0" borderId="18" xfId="0" applyFont="1" applyBorder="1" applyAlignment="1" applyProtection="1">
      <alignment horizontal="distributed" vertical="center"/>
      <protection locked="0"/>
    </xf>
    <xf numFmtId="0" fontId="25" fillId="0" borderId="21" xfId="0" applyFont="1" applyBorder="1" applyAlignment="1" applyProtection="1">
      <alignment horizontal="distributed" vertical="center"/>
      <protection locked="0"/>
    </xf>
    <xf numFmtId="0" fontId="25" fillId="0" borderId="23" xfId="0" applyFont="1" applyBorder="1" applyAlignment="1" applyProtection="1">
      <alignment horizontal="distributed" vertical="center"/>
      <protection locked="0"/>
    </xf>
    <xf numFmtId="0" fontId="25" fillId="0" borderId="0" xfId="0" applyFont="1" applyProtection="1">
      <alignment vertical="center"/>
      <protection locked="0"/>
    </xf>
    <xf numFmtId="0" fontId="7" fillId="3" borderId="1" xfId="3" applyFont="1" applyFill="1" applyBorder="1" applyAlignment="1" applyProtection="1">
      <alignment horizontal="distributed" vertical="center"/>
      <protection locked="0"/>
    </xf>
    <xf numFmtId="0" fontId="4" fillId="2" borderId="0" xfId="3" applyFont="1" applyFill="1" applyAlignment="1" applyProtection="1">
      <alignment horizontal="distributed" vertical="center"/>
      <protection locked="0"/>
    </xf>
    <xf numFmtId="0" fontId="4" fillId="2" borderId="0" xfId="3" applyFont="1" applyFill="1" applyAlignment="1" applyProtection="1">
      <alignment horizontal="center" vertical="center"/>
      <protection locked="0"/>
    </xf>
    <xf numFmtId="0" fontId="11" fillId="2" borderId="0" xfId="3" applyFont="1" applyFill="1" applyAlignment="1" applyProtection="1">
      <alignment horizontal="left" vertical="center"/>
      <protection locked="0"/>
    </xf>
    <xf numFmtId="0" fontId="14" fillId="2" borderId="0" xfId="5" applyFont="1" applyFill="1" applyAlignment="1" applyProtection="1">
      <alignment vertical="center"/>
      <protection locked="0"/>
    </xf>
    <xf numFmtId="0" fontId="4" fillId="4" borderId="1" xfId="3" applyFont="1" applyFill="1" applyBorder="1" applyAlignment="1" applyProtection="1">
      <alignment horizontal="center" vertical="center"/>
      <protection locked="0"/>
    </xf>
    <xf numFmtId="0" fontId="4" fillId="4" borderId="1" xfId="3" applyFont="1" applyFill="1" applyBorder="1" applyProtection="1">
      <alignment vertical="center"/>
      <protection locked="0"/>
    </xf>
    <xf numFmtId="0" fontId="16" fillId="2" borderId="4" xfId="6" applyFont="1" applyFill="1" applyBorder="1" applyAlignment="1" applyProtection="1">
      <alignment horizontal="center" vertical="center"/>
      <protection locked="0"/>
    </xf>
    <xf numFmtId="41" fontId="18" fillId="2" borderId="4" xfId="8" applyFont="1" applyFill="1" applyBorder="1" applyAlignment="1" applyProtection="1">
      <alignment horizontal="right" vertical="center"/>
      <protection locked="0"/>
    </xf>
    <xf numFmtId="178" fontId="18" fillId="2" borderId="4" xfId="6" applyNumberFormat="1" applyFont="1" applyFill="1" applyBorder="1" applyAlignment="1" applyProtection="1">
      <alignment vertical="center" shrinkToFit="1"/>
      <protection locked="0"/>
    </xf>
    <xf numFmtId="41" fontId="18" fillId="2" borderId="4" xfId="8" applyFont="1" applyFill="1" applyBorder="1" applyAlignment="1" applyProtection="1">
      <alignment horizontal="center" vertical="center"/>
      <protection locked="0"/>
    </xf>
    <xf numFmtId="0" fontId="16" fillId="2" borderId="11" xfId="6" applyFont="1" applyFill="1" applyBorder="1" applyAlignment="1" applyProtection="1">
      <alignment horizontal="center" vertical="center"/>
      <protection locked="0"/>
    </xf>
    <xf numFmtId="41" fontId="18" fillId="2" borderId="11" xfId="8" applyFont="1" applyFill="1" applyBorder="1" applyAlignment="1" applyProtection="1">
      <alignment horizontal="right" vertical="center"/>
      <protection locked="0"/>
    </xf>
    <xf numFmtId="178" fontId="18" fillId="2" borderId="11" xfId="6" applyNumberFormat="1" applyFont="1" applyFill="1" applyBorder="1" applyAlignment="1" applyProtection="1">
      <alignment vertical="center" shrinkToFit="1"/>
      <protection locked="0"/>
    </xf>
    <xf numFmtId="41" fontId="18" fillId="2" borderId="12" xfId="8" applyFont="1" applyFill="1" applyBorder="1" applyAlignment="1" applyProtection="1">
      <alignment horizontal="center" vertical="center"/>
      <protection locked="0"/>
    </xf>
    <xf numFmtId="49" fontId="16" fillId="2" borderId="12" xfId="5" applyNumberFormat="1" applyFont="1" applyFill="1" applyBorder="1" applyAlignment="1" applyProtection="1">
      <alignment horizontal="center" vertical="center"/>
      <protection locked="0"/>
    </xf>
    <xf numFmtId="49" fontId="16" fillId="2" borderId="13" xfId="5" applyNumberFormat="1" applyFont="1" applyFill="1" applyBorder="1" applyAlignment="1" applyProtection="1">
      <alignment horizontal="center" vertical="center"/>
      <protection locked="0"/>
    </xf>
    <xf numFmtId="0" fontId="19" fillId="6" borderId="14" xfId="6" applyFont="1" applyFill="1" applyBorder="1" applyAlignment="1" applyProtection="1">
      <alignment vertical="center"/>
      <protection locked="0"/>
    </xf>
    <xf numFmtId="0" fontId="19" fillId="6" borderId="14" xfId="5" applyFont="1" applyFill="1" applyBorder="1" applyAlignment="1" applyProtection="1">
      <alignment horizontal="center" vertical="center"/>
      <protection locked="0"/>
    </xf>
    <xf numFmtId="0" fontId="19" fillId="6" borderId="15" xfId="5" applyFont="1" applyFill="1" applyBorder="1" applyAlignment="1" applyProtection="1">
      <alignment horizontal="center" vertical="center"/>
      <protection locked="0"/>
    </xf>
    <xf numFmtId="49" fontId="19" fillId="6" borderId="14" xfId="9" applyNumberFormat="1" applyFont="1" applyFill="1" applyBorder="1" applyAlignment="1" applyProtection="1">
      <alignment horizontal="left" vertical="center" wrapText="1"/>
      <protection locked="0"/>
    </xf>
    <xf numFmtId="49" fontId="19" fillId="6" borderId="15" xfId="9" applyNumberFormat="1" applyFont="1" applyFill="1" applyBorder="1" applyAlignment="1" applyProtection="1">
      <alignment horizontal="left" vertical="center" wrapText="1"/>
      <protection locked="0"/>
    </xf>
    <xf numFmtId="41" fontId="20" fillId="6" borderId="16" xfId="8" applyFont="1" applyFill="1" applyBorder="1" applyAlignment="1" applyProtection="1">
      <alignment horizontal="right" vertical="center"/>
      <protection locked="0"/>
    </xf>
    <xf numFmtId="178" fontId="20" fillId="6" borderId="16" xfId="6" applyNumberFormat="1" applyFont="1" applyFill="1" applyBorder="1" applyAlignment="1" applyProtection="1">
      <alignment vertical="center" shrinkToFit="1"/>
      <protection locked="0"/>
    </xf>
    <xf numFmtId="41" fontId="20" fillId="6" borderId="14" xfId="8" applyFont="1" applyFill="1" applyBorder="1" applyAlignment="1" applyProtection="1">
      <alignment horizontal="center" vertical="center"/>
      <protection locked="0"/>
    </xf>
    <xf numFmtId="41" fontId="18" fillId="2" borderId="12" xfId="8" applyFont="1" applyFill="1" applyBorder="1" applyAlignment="1" applyProtection="1">
      <alignment horizontal="center" vertical="center" wrapText="1"/>
      <protection locked="0"/>
    </xf>
    <xf numFmtId="0" fontId="16" fillId="2" borderId="12" xfId="6" applyFont="1" applyFill="1" applyBorder="1" applyAlignment="1" applyProtection="1">
      <alignment horizontal="center" vertical="center"/>
      <protection locked="0"/>
    </xf>
    <xf numFmtId="0" fontId="16" fillId="2" borderId="12" xfId="5" applyFont="1" applyFill="1" applyBorder="1" applyAlignment="1" applyProtection="1">
      <alignment horizontal="center" vertical="center"/>
      <protection locked="0"/>
    </xf>
    <xf numFmtId="0" fontId="16" fillId="2" borderId="13" xfId="5" applyFont="1" applyFill="1" applyBorder="1" applyAlignment="1" applyProtection="1">
      <alignment horizontal="center" vertical="center"/>
      <protection locked="0"/>
    </xf>
    <xf numFmtId="0" fontId="21" fillId="2" borderId="12" xfId="3" applyFont="1" applyFill="1" applyBorder="1" applyProtection="1">
      <alignment vertical="center"/>
      <protection locked="0"/>
    </xf>
    <xf numFmtId="0" fontId="16" fillId="2" borderId="12" xfId="6" applyFont="1" applyFill="1" applyBorder="1" applyAlignment="1" applyProtection="1">
      <alignment vertical="center"/>
      <protection locked="0"/>
    </xf>
    <xf numFmtId="0" fontId="11" fillId="2" borderId="6" xfId="3" applyFont="1" applyFill="1" applyBorder="1" applyProtection="1">
      <alignment vertical="center"/>
      <protection locked="0"/>
    </xf>
    <xf numFmtId="0" fontId="4" fillId="2" borderId="17" xfId="3" applyFont="1" applyFill="1" applyBorder="1" applyProtection="1">
      <alignment vertical="center"/>
      <protection locked="0"/>
    </xf>
    <xf numFmtId="0" fontId="4" fillId="2" borderId="7" xfId="3" applyFont="1" applyFill="1" applyBorder="1" applyProtection="1">
      <alignment vertical="center"/>
      <protection locked="0"/>
    </xf>
    <xf numFmtId="0" fontId="4" fillId="2" borderId="1" xfId="3" applyFont="1" applyFill="1" applyBorder="1" applyAlignment="1" applyProtection="1">
      <alignment horizontal="distributed" vertical="center"/>
      <protection locked="0"/>
    </xf>
    <xf numFmtId="0" fontId="4" fillId="2" borderId="12" xfId="3" applyFont="1" applyFill="1" applyBorder="1" applyProtection="1">
      <alignment vertical="center"/>
      <protection locked="0"/>
    </xf>
    <xf numFmtId="0" fontId="4" fillId="2" borderId="13" xfId="3" applyFont="1" applyFill="1" applyBorder="1" applyProtection="1">
      <alignment vertical="center"/>
      <protection locked="0"/>
    </xf>
    <xf numFmtId="0" fontId="4" fillId="2" borderId="8" xfId="3" applyFont="1" applyFill="1" applyBorder="1" applyProtection="1">
      <alignment vertical="center"/>
      <protection locked="0"/>
    </xf>
    <xf numFmtId="0" fontId="4" fillId="2" borderId="10" xfId="3" applyFont="1" applyFill="1" applyBorder="1" applyProtection="1">
      <alignment vertical="center"/>
      <protection locked="0"/>
    </xf>
    <xf numFmtId="0" fontId="4" fillId="2" borderId="9" xfId="3" applyFont="1" applyFill="1" applyBorder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5" fillId="0" borderId="20" xfId="0" applyFont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6" fillId="9" borderId="27" xfId="0" applyFont="1" applyFill="1" applyBorder="1" applyAlignment="1" applyProtection="1">
      <alignment horizontal="center" vertical="center"/>
      <protection locked="0"/>
    </xf>
    <xf numFmtId="0" fontId="26" fillId="9" borderId="28" xfId="0" applyFont="1" applyFill="1" applyBorder="1" applyAlignment="1" applyProtection="1">
      <alignment horizontal="center" vertical="center"/>
      <protection locked="0"/>
    </xf>
    <xf numFmtId="0" fontId="26" fillId="9" borderId="29" xfId="0" applyFont="1" applyFill="1" applyBorder="1" applyAlignment="1" applyProtection="1">
      <alignment horizontal="center" vertical="center"/>
      <protection locked="0"/>
    </xf>
    <xf numFmtId="0" fontId="25" fillId="2" borderId="49" xfId="0" applyFont="1" applyFill="1" applyBorder="1" applyAlignment="1" applyProtection="1">
      <alignment horizontal="distributed" vertical="center"/>
      <protection locked="0"/>
    </xf>
    <xf numFmtId="0" fontId="25" fillId="2" borderId="50" xfId="0" applyFont="1" applyFill="1" applyBorder="1" applyAlignment="1" applyProtection="1">
      <alignment horizontal="distributed" vertical="center"/>
      <protection locked="0"/>
    </xf>
    <xf numFmtId="0" fontId="26" fillId="2" borderId="41" xfId="0" applyFont="1" applyFill="1" applyBorder="1" applyAlignment="1" applyProtection="1">
      <alignment horizontal="center" vertical="center"/>
      <protection locked="0"/>
    </xf>
    <xf numFmtId="0" fontId="26" fillId="2" borderId="40" xfId="0" applyFont="1" applyFill="1" applyBorder="1" applyAlignment="1" applyProtection="1">
      <alignment vertical="center"/>
      <protection locked="0"/>
    </xf>
    <xf numFmtId="0" fontId="26" fillId="2" borderId="41" xfId="0" applyFont="1" applyFill="1" applyBorder="1" applyAlignment="1" applyProtection="1">
      <alignment vertical="center"/>
      <protection locked="0"/>
    </xf>
    <xf numFmtId="0" fontId="25" fillId="2" borderId="21" xfId="0" applyFont="1" applyFill="1" applyBorder="1" applyAlignment="1" applyProtection="1">
      <alignment vertical="center"/>
      <protection locked="0"/>
    </xf>
    <xf numFmtId="0" fontId="25" fillId="2" borderId="0" xfId="0" applyFont="1" applyFill="1" applyBorder="1" applyAlignment="1" applyProtection="1">
      <alignment vertical="center"/>
      <protection locked="0"/>
    </xf>
    <xf numFmtId="0" fontId="25" fillId="2" borderId="23" xfId="0" applyFont="1" applyFill="1" applyBorder="1" applyAlignment="1" applyProtection="1">
      <alignment vertical="center"/>
      <protection locked="0"/>
    </xf>
    <xf numFmtId="0" fontId="25" fillId="2" borderId="24" xfId="0" applyFont="1" applyFill="1" applyBorder="1" applyAlignment="1" applyProtection="1">
      <alignment vertical="center"/>
      <protection locked="0"/>
    </xf>
    <xf numFmtId="0" fontId="25" fillId="2" borderId="22" xfId="0" applyFont="1" applyFill="1" applyBorder="1" applyAlignment="1" applyProtection="1">
      <alignment vertical="center"/>
      <protection locked="0"/>
    </xf>
    <xf numFmtId="0" fontId="25" fillId="2" borderId="25" xfId="0" applyFont="1" applyFill="1" applyBorder="1" applyAlignment="1" applyProtection="1">
      <alignment vertical="center"/>
      <protection locked="0"/>
    </xf>
    <xf numFmtId="0" fontId="22" fillId="0" borderId="23" xfId="0" applyFont="1" applyBorder="1" applyAlignment="1" applyProtection="1">
      <alignment horizontal="distributed" vertical="center"/>
      <protection locked="0"/>
    </xf>
    <xf numFmtId="0" fontId="25" fillId="0" borderId="25" xfId="0" applyFont="1" applyBorder="1" applyAlignment="1" applyProtection="1">
      <alignment horizontal="center" vertical="center"/>
      <protection locked="0"/>
    </xf>
    <xf numFmtId="0" fontId="25" fillId="0" borderId="22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vertical="center"/>
      <protection locked="0"/>
    </xf>
    <xf numFmtId="41" fontId="26" fillId="2" borderId="41" xfId="1" applyFont="1" applyFill="1" applyBorder="1" applyAlignment="1" applyProtection="1">
      <alignment vertical="center"/>
      <protection locked="0"/>
    </xf>
    <xf numFmtId="41" fontId="25" fillId="8" borderId="31" xfId="1" applyFont="1" applyFill="1" applyBorder="1" applyProtection="1">
      <alignment vertical="center"/>
      <protection locked="0"/>
    </xf>
    <xf numFmtId="43" fontId="25" fillId="8" borderId="31" xfId="0" applyNumberFormat="1" applyFont="1" applyFill="1" applyBorder="1" applyProtection="1">
      <alignment vertical="center"/>
      <protection locked="0"/>
    </xf>
    <xf numFmtId="0" fontId="25" fillId="8" borderId="31" xfId="0" applyNumberFormat="1" applyFont="1" applyFill="1" applyBorder="1" applyProtection="1">
      <alignment vertical="center"/>
      <protection locked="0"/>
    </xf>
    <xf numFmtId="0" fontId="25" fillId="8" borderId="31" xfId="1" applyNumberFormat="1" applyFont="1" applyFill="1" applyBorder="1" applyProtection="1">
      <alignment vertical="center"/>
      <protection locked="0"/>
    </xf>
    <xf numFmtId="41" fontId="26" fillId="0" borderId="32" xfId="0" applyNumberFormat="1" applyFont="1" applyBorder="1" applyProtection="1">
      <alignment vertical="center"/>
      <protection locked="0"/>
    </xf>
    <xf numFmtId="41" fontId="26" fillId="0" borderId="34" xfId="0" applyNumberFormat="1" applyFont="1" applyBorder="1" applyProtection="1">
      <alignment vertical="center"/>
      <protection locked="0"/>
    </xf>
    <xf numFmtId="9" fontId="29" fillId="0" borderId="45" xfId="2" applyFont="1" applyBorder="1" applyAlignment="1" applyProtection="1">
      <alignment vertical="center"/>
      <protection locked="0"/>
    </xf>
    <xf numFmtId="0" fontId="0" fillId="0" borderId="0" xfId="0" applyFill="1" applyBorder="1" applyAlignment="1">
      <alignment horizontal="center" vertical="center"/>
    </xf>
    <xf numFmtId="0" fontId="30" fillId="0" borderId="0" xfId="0" applyFont="1" applyProtection="1">
      <alignment vertical="center"/>
      <protection locked="0"/>
    </xf>
    <xf numFmtId="0" fontId="25" fillId="0" borderId="51" xfId="0" applyFont="1" applyBorder="1" applyAlignment="1" applyProtection="1">
      <alignment horizontal="distributed" vertical="center"/>
      <protection locked="0"/>
    </xf>
    <xf numFmtId="0" fontId="28" fillId="0" borderId="52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9" fontId="25" fillId="0" borderId="0" xfId="1" applyNumberFormat="1" applyFont="1" applyProtection="1">
      <alignment vertical="center"/>
      <protection locked="0"/>
    </xf>
    <xf numFmtId="41" fontId="0" fillId="0" borderId="0" xfId="1" applyFont="1" applyProtection="1">
      <alignment vertical="center"/>
      <protection locked="0"/>
    </xf>
    <xf numFmtId="177" fontId="22" fillId="0" borderId="25" xfId="0" applyNumberFormat="1" applyFont="1" applyBorder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vertical="center"/>
      <protection locked="0"/>
    </xf>
    <xf numFmtId="14" fontId="26" fillId="0" borderId="24" xfId="0" applyNumberFormat="1" applyFont="1" applyBorder="1" applyAlignment="1" applyProtection="1">
      <alignment vertical="center"/>
      <protection locked="0"/>
    </xf>
    <xf numFmtId="0" fontId="25" fillId="0" borderId="53" xfId="0" applyFont="1" applyBorder="1" applyProtection="1">
      <alignment vertical="center"/>
      <protection locked="0"/>
    </xf>
    <xf numFmtId="41" fontId="25" fillId="8" borderId="42" xfId="1" applyFont="1" applyFill="1" applyBorder="1" applyProtection="1">
      <alignment vertical="center"/>
      <protection locked="0"/>
    </xf>
    <xf numFmtId="41" fontId="25" fillId="8" borderId="30" xfId="1" applyFont="1" applyFill="1" applyBorder="1" applyProtection="1">
      <alignment vertical="center"/>
      <protection locked="0"/>
    </xf>
    <xf numFmtId="41" fontId="26" fillId="2" borderId="30" xfId="1" applyFont="1" applyFill="1" applyBorder="1" applyAlignment="1" applyProtection="1">
      <alignment vertical="center"/>
      <protection locked="0"/>
    </xf>
    <xf numFmtId="0" fontId="26" fillId="9" borderId="44" xfId="0" applyFont="1" applyFill="1" applyBorder="1" applyAlignment="1" applyProtection="1">
      <alignment horizontal="center" vertical="center"/>
      <protection locked="0"/>
    </xf>
    <xf numFmtId="0" fontId="26" fillId="2" borderId="31" xfId="0" applyFont="1" applyFill="1" applyBorder="1" applyAlignment="1" applyProtection="1">
      <alignment vertical="center"/>
      <protection locked="0"/>
    </xf>
    <xf numFmtId="0" fontId="31" fillId="0" borderId="0" xfId="0" applyFont="1" applyProtection="1">
      <alignment vertical="center"/>
      <protection locked="0"/>
    </xf>
    <xf numFmtId="41" fontId="0" fillId="0" borderId="0" xfId="0" applyNumberFormat="1" applyProtection="1">
      <alignment vertical="center"/>
      <protection locked="0"/>
    </xf>
    <xf numFmtId="0" fontId="26" fillId="8" borderId="30" xfId="0" applyFont="1" applyFill="1" applyBorder="1" applyProtection="1">
      <alignment vertical="center"/>
      <protection locked="0"/>
    </xf>
    <xf numFmtId="0" fontId="26" fillId="8" borderId="30" xfId="0" applyFont="1" applyFill="1" applyBorder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0" fontId="22" fillId="0" borderId="0" xfId="0" applyFont="1" applyAlignment="1" applyProtection="1">
      <alignment horizontal="left" vertical="center" wrapText="1"/>
      <protection locked="0"/>
    </xf>
    <xf numFmtId="0" fontId="32" fillId="0" borderId="0" xfId="0" applyFont="1" applyProtection="1">
      <alignment vertical="center"/>
      <protection locked="0"/>
    </xf>
    <xf numFmtId="0" fontId="0" fillId="0" borderId="18" xfId="0" applyFill="1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3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8" xfId="0" applyBorder="1">
      <alignment vertical="center"/>
    </xf>
    <xf numFmtId="0" fontId="0" fillId="0" borderId="29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1" xfId="0" applyBorder="1">
      <alignment vertical="center"/>
    </xf>
    <xf numFmtId="0" fontId="0" fillId="0" borderId="32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34" xfId="0" applyBorder="1">
      <alignment vertical="center"/>
    </xf>
    <xf numFmtId="0" fontId="0" fillId="0" borderId="20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49" fontId="0" fillId="0" borderId="0" xfId="0" applyNumberFormat="1" applyProtection="1">
      <alignment vertical="center"/>
      <protection locked="0"/>
    </xf>
    <xf numFmtId="49" fontId="22" fillId="0" borderId="0" xfId="0" applyNumberFormat="1" applyFont="1" applyProtection="1">
      <alignment vertical="center"/>
      <protection locked="0"/>
    </xf>
    <xf numFmtId="0" fontId="0" fillId="0" borderId="52" xfId="0" applyBorder="1">
      <alignment vertical="center"/>
    </xf>
    <xf numFmtId="0" fontId="23" fillId="7" borderId="56" xfId="0" applyFont="1" applyFill="1" applyBorder="1" applyAlignment="1">
      <alignment horizontal="center" vertical="center"/>
    </xf>
    <xf numFmtId="0" fontId="0" fillId="0" borderId="42" xfId="0" applyFill="1" applyBorder="1">
      <alignment vertical="center"/>
    </xf>
    <xf numFmtId="0" fontId="0" fillId="0" borderId="43" xfId="0" applyFill="1" applyBorder="1">
      <alignment vertical="center"/>
    </xf>
    <xf numFmtId="0" fontId="0" fillId="0" borderId="31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6" fontId="0" fillId="0" borderId="20" xfId="0" applyNumberFormat="1" applyBorder="1">
      <alignment vertical="center"/>
    </xf>
    <xf numFmtId="176" fontId="0" fillId="0" borderId="22" xfId="0" applyNumberFormat="1" applyBorder="1">
      <alignment vertical="center"/>
    </xf>
    <xf numFmtId="0" fontId="0" fillId="0" borderId="24" xfId="0" applyBorder="1" applyAlignment="1">
      <alignment horizontal="center" vertical="center"/>
    </xf>
    <xf numFmtId="176" fontId="0" fillId="0" borderId="25" xfId="0" applyNumberFormat="1" applyBorder="1">
      <alignment vertical="center"/>
    </xf>
    <xf numFmtId="0" fontId="0" fillId="0" borderId="0" xfId="0" applyBorder="1" applyAlignment="1">
      <alignment vertical="center" wrapText="1"/>
    </xf>
    <xf numFmtId="0" fontId="25" fillId="0" borderId="57" xfId="0" applyFont="1" applyBorder="1" applyProtection="1">
      <alignment vertical="center"/>
      <protection locked="0"/>
    </xf>
    <xf numFmtId="0" fontId="22" fillId="0" borderId="0" xfId="0" applyFont="1" applyAlignment="1" applyProtection="1">
      <alignment vertical="center" wrapText="1"/>
      <protection locked="0"/>
    </xf>
    <xf numFmtId="0" fontId="22" fillId="0" borderId="0" xfId="0" applyFont="1" applyAlignment="1" applyProtection="1">
      <alignment vertical="center"/>
      <protection locked="0"/>
    </xf>
    <xf numFmtId="0" fontId="25" fillId="2" borderId="58" xfId="0" applyFont="1" applyFill="1" applyBorder="1" applyAlignment="1" applyProtection="1">
      <alignment horizontal="distributed" vertical="center"/>
      <protection locked="0"/>
    </xf>
    <xf numFmtId="0" fontId="19" fillId="6" borderId="14" xfId="6" applyFont="1" applyFill="1" applyBorder="1" applyAlignment="1" applyProtection="1">
      <alignment horizontal="center" vertical="center"/>
      <protection locked="0"/>
    </xf>
    <xf numFmtId="0" fontId="14" fillId="5" borderId="1" xfId="6" applyFont="1" applyFill="1" applyBorder="1" applyAlignment="1" applyProtection="1">
      <alignment vertical="center"/>
      <protection locked="0"/>
    </xf>
    <xf numFmtId="41" fontId="14" fillId="5" borderId="1" xfId="1" applyFont="1" applyFill="1" applyBorder="1" applyAlignment="1" applyProtection="1">
      <alignment vertical="center"/>
      <protection locked="0"/>
    </xf>
    <xf numFmtId="0" fontId="4" fillId="4" borderId="4" xfId="3" applyFont="1" applyFill="1" applyBorder="1" applyAlignment="1" applyProtection="1">
      <alignment horizontal="center" vertical="center"/>
      <protection locked="0"/>
    </xf>
    <xf numFmtId="0" fontId="0" fillId="0" borderId="17" xfId="0" applyBorder="1">
      <alignment vertical="center"/>
    </xf>
    <xf numFmtId="176" fontId="0" fillId="0" borderId="59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60" xfId="0" applyNumberFormat="1" applyBorder="1">
      <alignment vertical="center"/>
    </xf>
    <xf numFmtId="0" fontId="4" fillId="4" borderId="4" xfId="3" applyFont="1" applyFill="1" applyBorder="1" applyProtection="1">
      <alignment vertical="center"/>
      <protection locked="0"/>
    </xf>
    <xf numFmtId="41" fontId="18" fillId="2" borderId="11" xfId="8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9" fontId="29" fillId="0" borderId="49" xfId="1" applyNumberFormat="1" applyFont="1" applyBorder="1" applyAlignment="1" applyProtection="1">
      <alignment horizontal="center" vertical="center"/>
      <protection locked="0"/>
    </xf>
    <xf numFmtId="9" fontId="29" fillId="0" borderId="45" xfId="1" applyNumberFormat="1" applyFont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176" fontId="0" fillId="0" borderId="0" xfId="0" applyNumberFormat="1">
      <alignment vertical="center"/>
    </xf>
    <xf numFmtId="0" fontId="26" fillId="9" borderId="40" xfId="0" applyFont="1" applyFill="1" applyBorder="1" applyAlignment="1" applyProtection="1">
      <alignment horizontal="center" vertical="center"/>
      <protection locked="0"/>
    </xf>
    <xf numFmtId="0" fontId="26" fillId="8" borderId="41" xfId="0" applyFont="1" applyFill="1" applyBorder="1" applyAlignment="1" applyProtection="1">
      <alignment horizontal="center" vertical="center"/>
      <protection locked="0"/>
    </xf>
    <xf numFmtId="0" fontId="26" fillId="2" borderId="40" xfId="0" applyFont="1" applyFill="1" applyBorder="1" applyAlignment="1" applyProtection="1">
      <alignment horizontal="center" vertical="center"/>
      <protection locked="0"/>
    </xf>
    <xf numFmtId="0" fontId="26" fillId="2" borderId="41" xfId="0" applyFont="1" applyFill="1" applyBorder="1" applyProtection="1">
      <alignment vertical="center"/>
      <protection locked="0"/>
    </xf>
    <xf numFmtId="41" fontId="25" fillId="2" borderId="41" xfId="1" applyFont="1" applyFill="1" applyBorder="1" applyProtection="1">
      <alignment vertical="center"/>
      <protection locked="0"/>
    </xf>
    <xf numFmtId="41" fontId="25" fillId="2" borderId="30" xfId="1" applyFont="1" applyFill="1" applyBorder="1" applyProtection="1">
      <alignment vertical="center"/>
      <protection locked="0"/>
    </xf>
    <xf numFmtId="41" fontId="25" fillId="2" borderId="31" xfId="1" applyFont="1" applyFill="1" applyBorder="1" applyProtection="1">
      <alignment vertical="center"/>
      <protection locked="0"/>
    </xf>
    <xf numFmtId="0" fontId="26" fillId="8" borderId="62" xfId="0" applyFont="1" applyFill="1" applyBorder="1" applyProtection="1">
      <alignment vertical="center"/>
      <protection locked="0"/>
    </xf>
    <xf numFmtId="0" fontId="25" fillId="0" borderId="21" xfId="0" applyFont="1" applyBorder="1" applyProtection="1">
      <alignment vertical="center"/>
      <protection locked="0"/>
    </xf>
    <xf numFmtId="49" fontId="25" fillId="0" borderId="22" xfId="0" applyNumberFormat="1" applyFont="1" applyBorder="1" applyAlignment="1" applyProtection="1">
      <alignment horizontal="center" vertical="center"/>
      <protection locked="0"/>
    </xf>
    <xf numFmtId="0" fontId="22" fillId="0" borderId="21" xfId="0" applyFont="1" applyBorder="1" applyProtection="1">
      <alignment vertical="center"/>
      <protection locked="0"/>
    </xf>
    <xf numFmtId="0" fontId="22" fillId="0" borderId="22" xfId="0" applyFont="1" applyBorder="1" applyAlignment="1" applyProtection="1">
      <alignment horizontal="center" vertical="center"/>
      <protection locked="0"/>
    </xf>
    <xf numFmtId="0" fontId="22" fillId="0" borderId="23" xfId="0" applyFont="1" applyBorder="1" applyProtection="1">
      <alignment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25" fillId="0" borderId="46" xfId="0" applyFont="1" applyBorder="1" applyAlignment="1" applyProtection="1">
      <alignment horizontal="distributed" vertical="center"/>
      <protection locked="0"/>
    </xf>
    <xf numFmtId="0" fontId="25" fillId="0" borderId="47" xfId="0" applyFont="1" applyBorder="1" applyAlignment="1" applyProtection="1">
      <alignment horizontal="distributed" vertical="center"/>
      <protection locked="0"/>
    </xf>
    <xf numFmtId="0" fontId="25" fillId="0" borderId="48" xfId="0" applyFont="1" applyBorder="1" applyAlignment="1" applyProtection="1">
      <alignment horizontal="distributed" vertical="center"/>
      <protection locked="0"/>
    </xf>
    <xf numFmtId="0" fontId="26" fillId="8" borderId="63" xfId="0" applyFont="1" applyFill="1" applyBorder="1" applyAlignment="1" applyProtection="1">
      <alignment horizontal="center" vertical="center"/>
      <protection locked="0"/>
    </xf>
    <xf numFmtId="0" fontId="25" fillId="2" borderId="48" xfId="0" applyFont="1" applyFill="1" applyBorder="1" applyAlignment="1" applyProtection="1">
      <alignment horizontal="distributed" vertical="center"/>
      <protection locked="0"/>
    </xf>
    <xf numFmtId="41" fontId="25" fillId="8" borderId="64" xfId="1" applyFont="1" applyFill="1" applyBorder="1" applyProtection="1">
      <alignment vertical="center"/>
      <protection locked="0"/>
    </xf>
    <xf numFmtId="0" fontId="22" fillId="0" borderId="25" xfId="0" applyFont="1" applyBorder="1" applyAlignment="1" applyProtection="1">
      <alignment horizontal="center" vertical="center"/>
      <protection locked="0"/>
    </xf>
    <xf numFmtId="41" fontId="22" fillId="0" borderId="0" xfId="0" applyNumberFormat="1" applyFont="1" applyProtection="1">
      <alignment vertical="center"/>
      <protection locked="0"/>
    </xf>
    <xf numFmtId="0" fontId="25" fillId="0" borderId="23" xfId="0" applyFont="1" applyBorder="1" applyProtection="1">
      <alignment vertical="center"/>
      <protection locked="0"/>
    </xf>
    <xf numFmtId="41" fontId="25" fillId="0" borderId="24" xfId="1" applyNumberFormat="1" applyFont="1" applyBorder="1" applyProtection="1">
      <alignment vertical="center"/>
      <protection locked="0"/>
    </xf>
    <xf numFmtId="41" fontId="26" fillId="0" borderId="25" xfId="0" applyNumberFormat="1" applyFont="1" applyBorder="1" applyProtection="1">
      <alignment vertical="center"/>
      <protection locked="0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4" fillId="2" borderId="1" xfId="3" applyFont="1" applyFill="1" applyBorder="1" applyAlignment="1" applyProtection="1">
      <alignment horizontal="distributed" vertical="center"/>
      <protection locked="0"/>
    </xf>
    <xf numFmtId="0" fontId="4" fillId="4" borderId="1" xfId="3" applyFont="1" applyFill="1" applyBorder="1" applyAlignment="1" applyProtection="1">
      <alignment horizontal="center" vertical="center"/>
      <protection locked="0"/>
    </xf>
    <xf numFmtId="49" fontId="16" fillId="2" borderId="12" xfId="5" applyNumberFormat="1" applyFont="1" applyFill="1" applyBorder="1" applyAlignment="1" applyProtection="1">
      <alignment horizontal="center" vertical="center"/>
      <protection locked="0"/>
    </xf>
    <xf numFmtId="49" fontId="16" fillId="2" borderId="13" xfId="5" applyNumberFormat="1" applyFont="1" applyFill="1" applyBorder="1" applyAlignment="1" applyProtection="1">
      <alignment horizontal="center" vertical="center"/>
      <protection locked="0"/>
    </xf>
    <xf numFmtId="0" fontId="16" fillId="2" borderId="12" xfId="5" applyFont="1" applyFill="1" applyBorder="1" applyAlignment="1" applyProtection="1">
      <alignment horizontal="center" vertical="center"/>
      <protection locked="0"/>
    </xf>
    <xf numFmtId="0" fontId="16" fillId="2" borderId="13" xfId="5" applyFont="1" applyFill="1" applyBorder="1" applyAlignment="1" applyProtection="1">
      <alignment horizontal="center" vertical="center"/>
      <protection locked="0"/>
    </xf>
    <xf numFmtId="0" fontId="0" fillId="0" borderId="24" xfId="0" applyFill="1" applyBorder="1">
      <alignment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55" xfId="0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25" fillId="2" borderId="65" xfId="0" applyFont="1" applyFill="1" applyBorder="1" applyAlignment="1" applyProtection="1">
      <alignment horizontal="center" vertical="center"/>
      <protection locked="0"/>
    </xf>
    <xf numFmtId="0" fontId="25" fillId="2" borderId="25" xfId="0" applyFont="1" applyFill="1" applyBorder="1" applyAlignment="1" applyProtection="1">
      <alignment horizontal="center" vertical="center"/>
      <protection locked="0"/>
    </xf>
    <xf numFmtId="0" fontId="4" fillId="2" borderId="0" xfId="3" applyFont="1" applyFill="1" applyAlignment="1" applyProtection="1">
      <alignment horizontal="left" vertical="center"/>
      <protection locked="0"/>
    </xf>
    <xf numFmtId="0" fontId="6" fillId="2" borderId="0" xfId="3" applyFont="1" applyFill="1" applyAlignment="1" applyProtection="1">
      <alignment horizontal="center" vertical="center"/>
      <protection locked="0"/>
    </xf>
    <xf numFmtId="0" fontId="4" fillId="2" borderId="1" xfId="3" applyFont="1" applyFill="1" applyBorder="1" applyAlignment="1" applyProtection="1">
      <alignment horizontal="distributed" vertical="center"/>
      <protection locked="0"/>
    </xf>
    <xf numFmtId="14" fontId="4" fillId="2" borderId="1" xfId="3" applyNumberFormat="1" applyFont="1" applyFill="1" applyBorder="1" applyAlignment="1" applyProtection="1">
      <alignment horizontal="center" vertical="center"/>
      <protection locked="0"/>
    </xf>
    <xf numFmtId="0" fontId="4" fillId="2" borderId="1" xfId="3" applyFont="1" applyFill="1" applyBorder="1" applyAlignment="1" applyProtection="1">
      <alignment horizontal="center" vertical="center"/>
      <protection locked="0"/>
    </xf>
    <xf numFmtId="0" fontId="7" fillId="3" borderId="1" xfId="3" applyFont="1" applyFill="1" applyBorder="1" applyAlignment="1" applyProtection="1">
      <alignment horizontal="center" vertical="center"/>
      <protection locked="0"/>
    </xf>
    <xf numFmtId="0" fontId="24" fillId="3" borderId="1" xfId="4" applyFont="1" applyFill="1" applyBorder="1" applyAlignment="1" applyProtection="1">
      <alignment horizontal="center" vertical="center"/>
      <protection locked="0"/>
    </xf>
    <xf numFmtId="0" fontId="4" fillId="2" borderId="2" xfId="3" applyFont="1" applyFill="1" applyBorder="1" applyAlignment="1" applyProtection="1">
      <alignment horizontal="distributed" vertical="center"/>
      <protection locked="0"/>
    </xf>
    <xf numFmtId="0" fontId="4" fillId="2" borderId="3" xfId="3" applyFont="1" applyFill="1" applyBorder="1" applyAlignment="1" applyProtection="1">
      <alignment horizontal="distributed" vertical="center"/>
      <protection locked="0"/>
    </xf>
    <xf numFmtId="0" fontId="4" fillId="2" borderId="2" xfId="3" applyFont="1" applyFill="1" applyBorder="1" applyAlignment="1" applyProtection="1">
      <alignment horizontal="center" vertical="center"/>
      <protection locked="0"/>
    </xf>
    <xf numFmtId="0" fontId="4" fillId="2" borderId="3" xfId="3" applyFont="1" applyFill="1" applyBorder="1" applyAlignment="1" applyProtection="1">
      <alignment horizontal="center" vertical="center"/>
      <protection locked="0"/>
    </xf>
    <xf numFmtId="0" fontId="7" fillId="3" borderId="4" xfId="3" applyFont="1" applyFill="1" applyBorder="1" applyAlignment="1" applyProtection="1">
      <alignment horizontal="distributed" vertical="center"/>
      <protection locked="0"/>
    </xf>
    <xf numFmtId="0" fontId="7" fillId="3" borderId="5" xfId="3" applyFont="1" applyFill="1" applyBorder="1" applyAlignment="1" applyProtection="1">
      <alignment horizontal="distributed" vertical="center"/>
      <protection locked="0"/>
    </xf>
    <xf numFmtId="0" fontId="10" fillId="3" borderId="4" xfId="3" applyFont="1" applyFill="1" applyBorder="1" applyAlignment="1" applyProtection="1">
      <alignment horizontal="center" vertical="center"/>
      <protection locked="0"/>
    </xf>
    <xf numFmtId="0" fontId="10" fillId="3" borderId="5" xfId="3" applyFont="1" applyFill="1" applyBorder="1" applyAlignment="1" applyProtection="1">
      <alignment horizontal="center" vertical="center"/>
      <protection locked="0"/>
    </xf>
    <xf numFmtId="177" fontId="4" fillId="2" borderId="1" xfId="3" applyNumberFormat="1" applyFont="1" applyFill="1" applyBorder="1" applyAlignment="1" applyProtection="1">
      <alignment horizontal="center" vertical="center"/>
      <protection locked="0"/>
    </xf>
    <xf numFmtId="0" fontId="11" fillId="2" borderId="6" xfId="3" applyFont="1" applyFill="1" applyBorder="1" applyAlignment="1" applyProtection="1">
      <alignment horizontal="center" vertical="center"/>
      <protection locked="0"/>
    </xf>
    <xf numFmtId="0" fontId="11" fillId="2" borderId="7" xfId="3" applyFont="1" applyFill="1" applyBorder="1" applyAlignment="1" applyProtection="1">
      <alignment horizontal="center" vertical="center"/>
      <protection locked="0"/>
    </xf>
    <xf numFmtId="0" fontId="11" fillId="2" borderId="8" xfId="3" applyFont="1" applyFill="1" applyBorder="1" applyAlignment="1" applyProtection="1">
      <alignment horizontal="center" vertical="center"/>
      <protection locked="0"/>
    </xf>
    <xf numFmtId="0" fontId="11" fillId="2" borderId="9" xfId="3" applyFont="1" applyFill="1" applyBorder="1" applyAlignment="1" applyProtection="1">
      <alignment horizontal="center" vertical="center"/>
      <protection locked="0"/>
    </xf>
    <xf numFmtId="0" fontId="14" fillId="2" borderId="0" xfId="5" applyFont="1" applyFill="1" applyAlignment="1" applyProtection="1">
      <alignment horizontal="left" vertical="center"/>
      <protection locked="0"/>
    </xf>
    <xf numFmtId="0" fontId="4" fillId="2" borderId="10" xfId="3" applyFont="1" applyFill="1" applyBorder="1" applyAlignment="1" applyProtection="1">
      <alignment horizontal="left" vertical="center"/>
      <protection locked="0"/>
    </xf>
    <xf numFmtId="0" fontId="4" fillId="2" borderId="0" xfId="3" applyFont="1" applyFill="1" applyAlignment="1" applyProtection="1">
      <alignment horizontal="right" vertical="center"/>
      <protection locked="0"/>
    </xf>
    <xf numFmtId="0" fontId="4" fillId="4" borderId="1" xfId="3" applyFont="1" applyFill="1" applyBorder="1" applyAlignment="1" applyProtection="1">
      <alignment horizontal="center" vertical="center"/>
      <protection locked="0"/>
    </xf>
    <xf numFmtId="49" fontId="16" fillId="2" borderId="12" xfId="5" applyNumberFormat="1" applyFont="1" applyFill="1" applyBorder="1" applyAlignment="1" applyProtection="1">
      <alignment horizontal="center" vertical="center"/>
      <protection locked="0"/>
    </xf>
    <xf numFmtId="49" fontId="16" fillId="2" borderId="13" xfId="5" applyNumberFormat="1" applyFont="1" applyFill="1" applyBorder="1" applyAlignment="1" applyProtection="1">
      <alignment horizontal="center" vertical="center"/>
      <protection locked="0"/>
    </xf>
    <xf numFmtId="49" fontId="16" fillId="2" borderId="12" xfId="3" applyNumberFormat="1" applyFont="1" applyFill="1" applyBorder="1" applyAlignment="1" applyProtection="1">
      <alignment horizontal="left" vertical="center" wrapText="1"/>
      <protection locked="0"/>
    </xf>
    <xf numFmtId="49" fontId="16" fillId="2" borderId="13" xfId="3" applyNumberFormat="1" applyFont="1" applyFill="1" applyBorder="1" applyAlignment="1" applyProtection="1">
      <alignment horizontal="left" vertical="center" wrapText="1"/>
      <protection locked="0"/>
    </xf>
    <xf numFmtId="0" fontId="14" fillId="5" borderId="1" xfId="6" applyFont="1" applyFill="1" applyBorder="1" applyAlignment="1" applyProtection="1">
      <alignment horizontal="left" vertical="center"/>
      <protection locked="0"/>
    </xf>
    <xf numFmtId="43" fontId="16" fillId="2" borderId="6" xfId="7" applyNumberFormat="1" applyFont="1" applyFill="1" applyBorder="1" applyAlignment="1" applyProtection="1">
      <alignment horizontal="center" vertical="center" wrapText="1"/>
      <protection locked="0"/>
    </xf>
    <xf numFmtId="43" fontId="16" fillId="2" borderId="7" xfId="7" applyNumberFormat="1" applyFont="1" applyFill="1" applyBorder="1" applyAlignment="1" applyProtection="1">
      <alignment horizontal="center" vertical="center" wrapText="1"/>
      <protection locked="0"/>
    </xf>
    <xf numFmtId="49" fontId="16" fillId="2" borderId="6" xfId="3" quotePrefix="1" applyNumberFormat="1" applyFont="1" applyFill="1" applyBorder="1" applyAlignment="1" applyProtection="1">
      <alignment horizontal="left" vertical="center" wrapText="1"/>
      <protection locked="0"/>
    </xf>
    <xf numFmtId="49" fontId="16" fillId="2" borderId="7" xfId="3" applyNumberFormat="1" applyFont="1" applyFill="1" applyBorder="1" applyAlignment="1" applyProtection="1">
      <alignment horizontal="left" vertical="center" wrapText="1"/>
      <protection locked="0"/>
    </xf>
    <xf numFmtId="0" fontId="16" fillId="2" borderId="12" xfId="5" applyFont="1" applyFill="1" applyBorder="1" applyAlignment="1" applyProtection="1">
      <alignment horizontal="center" vertical="center"/>
      <protection locked="0"/>
    </xf>
    <xf numFmtId="0" fontId="16" fillId="2" borderId="13" xfId="5" applyFont="1" applyFill="1" applyBorder="1" applyAlignment="1" applyProtection="1">
      <alignment horizontal="center" vertical="center"/>
      <protection locked="0"/>
    </xf>
    <xf numFmtId="0" fontId="16" fillId="2" borderId="12" xfId="3" applyNumberFormat="1" applyFont="1" applyFill="1" applyBorder="1" applyAlignment="1" applyProtection="1">
      <alignment horizontal="left" vertical="center" wrapText="1"/>
      <protection locked="0"/>
    </xf>
    <xf numFmtId="0" fontId="16" fillId="2" borderId="13" xfId="3" applyNumberFormat="1" applyFont="1" applyFill="1" applyBorder="1" applyAlignment="1" applyProtection="1">
      <alignment horizontal="left" vertical="center" wrapText="1"/>
      <protection locked="0"/>
    </xf>
    <xf numFmtId="49" fontId="18" fillId="2" borderId="12" xfId="3" applyNumberFormat="1" applyFont="1" applyFill="1" applyBorder="1" applyAlignment="1" applyProtection="1">
      <alignment horizontal="left" vertical="center" wrapText="1"/>
      <protection locked="0"/>
    </xf>
    <xf numFmtId="49" fontId="18" fillId="2" borderId="13" xfId="3" applyNumberFormat="1" applyFont="1" applyFill="1" applyBorder="1" applyAlignment="1" applyProtection="1">
      <alignment horizontal="left" vertical="center" wrapText="1"/>
      <protection locked="0"/>
    </xf>
    <xf numFmtId="0" fontId="4" fillId="2" borderId="8" xfId="3" applyFont="1" applyFill="1" applyBorder="1" applyAlignment="1" applyProtection="1">
      <alignment horizontal="left" vertical="center"/>
      <protection locked="0"/>
    </xf>
    <xf numFmtId="0" fontId="4" fillId="2" borderId="9" xfId="3" applyFont="1" applyFill="1" applyBorder="1" applyAlignment="1" applyProtection="1">
      <alignment horizontal="left" vertical="center"/>
      <protection locked="0"/>
    </xf>
    <xf numFmtId="41" fontId="11" fillId="2" borderId="1" xfId="3" applyNumberFormat="1" applyFont="1" applyFill="1" applyBorder="1" applyAlignment="1" applyProtection="1">
      <alignment horizontal="center" vertical="center"/>
      <protection locked="0"/>
    </xf>
    <xf numFmtId="0" fontId="11" fillId="2" borderId="1" xfId="3" applyFont="1" applyFill="1" applyBorder="1" applyAlignment="1" applyProtection="1">
      <alignment horizontal="center" vertical="center"/>
      <protection locked="0"/>
    </xf>
    <xf numFmtId="0" fontId="4" fillId="2" borderId="6" xfId="3" applyFont="1" applyFill="1" applyBorder="1" applyAlignment="1" applyProtection="1">
      <alignment horizontal="left" vertical="center"/>
      <protection locked="0"/>
    </xf>
    <xf numFmtId="0" fontId="4" fillId="2" borderId="17" xfId="3" applyFont="1" applyFill="1" applyBorder="1" applyAlignment="1" applyProtection="1">
      <alignment horizontal="left" vertical="center"/>
      <protection locked="0"/>
    </xf>
    <xf numFmtId="0" fontId="4" fillId="2" borderId="7" xfId="3" applyFont="1" applyFill="1" applyBorder="1" applyAlignment="1" applyProtection="1">
      <alignment horizontal="left" vertical="center"/>
      <protection locked="0"/>
    </xf>
    <xf numFmtId="0" fontId="4" fillId="2" borderId="12" xfId="3" applyFont="1" applyFill="1" applyBorder="1" applyAlignment="1" applyProtection="1">
      <alignment horizontal="left" vertical="center"/>
      <protection locked="0"/>
    </xf>
    <xf numFmtId="0" fontId="4" fillId="2" borderId="13" xfId="3" applyFont="1" applyFill="1" applyBorder="1" applyAlignment="1" applyProtection="1">
      <alignment horizontal="left" vertical="center"/>
      <protection locked="0"/>
    </xf>
    <xf numFmtId="0" fontId="19" fillId="6" borderId="14" xfId="9" applyNumberFormat="1" applyFont="1" applyFill="1" applyBorder="1" applyAlignment="1" applyProtection="1">
      <alignment horizontal="left" vertical="center" wrapText="1"/>
      <protection locked="0"/>
    </xf>
    <xf numFmtId="0" fontId="19" fillId="6" borderId="15" xfId="9" applyNumberFormat="1" applyFont="1" applyFill="1" applyBorder="1" applyAlignment="1" applyProtection="1">
      <alignment horizontal="left" vertical="center" wrapText="1"/>
      <protection locked="0"/>
    </xf>
    <xf numFmtId="0" fontId="19" fillId="6" borderId="14" xfId="5" applyFont="1" applyFill="1" applyBorder="1" applyAlignment="1" applyProtection="1">
      <alignment horizontal="left" vertical="center"/>
      <protection locked="0"/>
    </xf>
    <xf numFmtId="0" fontId="19" fillId="6" borderId="15" xfId="5" applyFont="1" applyFill="1" applyBorder="1" applyAlignment="1" applyProtection="1">
      <alignment horizontal="left" vertical="center"/>
      <protection locked="0"/>
    </xf>
    <xf numFmtId="0" fontId="4" fillId="2" borderId="12" xfId="3" quotePrefix="1" applyNumberFormat="1" applyFont="1" applyFill="1" applyBorder="1" applyAlignment="1" applyProtection="1">
      <alignment horizontal="left" vertical="center"/>
      <protection locked="0"/>
    </xf>
    <xf numFmtId="0" fontId="4" fillId="2" borderId="0" xfId="3" quotePrefix="1" applyNumberFormat="1" applyFont="1" applyFill="1" applyAlignment="1" applyProtection="1">
      <alignment horizontal="left" vertical="center"/>
      <protection locked="0"/>
    </xf>
    <xf numFmtId="0" fontId="4" fillId="2" borderId="13" xfId="3" quotePrefix="1" applyNumberFormat="1" applyFont="1" applyFill="1" applyBorder="1" applyAlignment="1" applyProtection="1">
      <alignment horizontal="left" vertical="center"/>
      <protection locked="0"/>
    </xf>
    <xf numFmtId="41" fontId="16" fillId="2" borderId="12" xfId="5" applyNumberFormat="1" applyFont="1" applyFill="1" applyBorder="1" applyAlignment="1" applyProtection="1">
      <alignment horizontal="center" vertical="center"/>
      <protection locked="0"/>
    </xf>
    <xf numFmtId="49" fontId="16" fillId="3" borderId="12" xfId="5" quotePrefix="1" applyNumberFormat="1" applyFont="1" applyFill="1" applyBorder="1" applyAlignment="1">
      <alignment horizontal="left" vertical="center" wrapText="1"/>
    </xf>
    <xf numFmtId="49" fontId="16" fillId="3" borderId="13" xfId="5" applyNumberFormat="1" applyFont="1" applyFill="1" applyBorder="1" applyAlignment="1">
      <alignment horizontal="left" vertical="center" wrapText="1"/>
    </xf>
    <xf numFmtId="0" fontId="16" fillId="2" borderId="7" xfId="7" applyFont="1" applyFill="1" applyBorder="1" applyAlignment="1" applyProtection="1">
      <alignment horizontal="center" vertical="center" wrapText="1"/>
      <protection locked="0"/>
    </xf>
    <xf numFmtId="49" fontId="16" fillId="3" borderId="12" xfId="5" applyNumberFormat="1" applyFont="1" applyFill="1" applyBorder="1" applyAlignment="1">
      <alignment horizontal="left" vertical="center" wrapText="1"/>
    </xf>
    <xf numFmtId="0" fontId="22" fillId="0" borderId="0" xfId="0" applyFont="1" applyAlignment="1" applyProtection="1">
      <alignment horizontal="left" vertical="center" wrapText="1"/>
      <protection locked="0"/>
    </xf>
    <xf numFmtId="0" fontId="16" fillId="2" borderId="8" xfId="3" applyNumberFormat="1" applyFont="1" applyFill="1" applyBorder="1" applyAlignment="1" applyProtection="1">
      <alignment horizontal="left" vertical="center" wrapText="1"/>
      <protection locked="0"/>
    </xf>
    <xf numFmtId="0" fontId="16" fillId="2" borderId="9" xfId="3" applyNumberFormat="1" applyFont="1" applyFill="1" applyBorder="1" applyAlignment="1" applyProtection="1">
      <alignment horizontal="left" vertical="center" wrapText="1"/>
      <protection locked="0"/>
    </xf>
    <xf numFmtId="0" fontId="16" fillId="2" borderId="6" xfId="7" applyFont="1" applyFill="1" applyBorder="1" applyAlignment="1" applyProtection="1">
      <alignment horizontal="center" vertical="center" wrapText="1"/>
      <protection locked="0"/>
    </xf>
    <xf numFmtId="0" fontId="4" fillId="4" borderId="4" xfId="3" applyFont="1" applyFill="1" applyBorder="1" applyAlignment="1" applyProtection="1">
      <alignment horizontal="center" vertical="center"/>
      <protection locked="0"/>
    </xf>
    <xf numFmtId="43" fontId="16" fillId="2" borderId="12" xfId="7" applyNumberFormat="1" applyFont="1" applyFill="1" applyBorder="1" applyAlignment="1" applyProtection="1">
      <alignment horizontal="center" vertical="center" wrapText="1"/>
      <protection locked="0"/>
    </xf>
    <xf numFmtId="0" fontId="16" fillId="2" borderId="13" xfId="7" applyFont="1" applyFill="1" applyBorder="1" applyAlignment="1" applyProtection="1">
      <alignment horizontal="center" vertical="center" wrapText="1"/>
      <protection locked="0"/>
    </xf>
    <xf numFmtId="49" fontId="16" fillId="2" borderId="12" xfId="3" quotePrefix="1" applyNumberFormat="1" applyFont="1" applyFill="1" applyBorder="1" applyAlignment="1" applyProtection="1">
      <alignment horizontal="left" vertical="center" wrapText="1"/>
      <protection locked="0"/>
    </xf>
    <xf numFmtId="0" fontId="14" fillId="5" borderId="61" xfId="6" applyFont="1" applyFill="1" applyBorder="1" applyAlignment="1" applyProtection="1">
      <alignment horizontal="left" vertical="center" wrapText="1"/>
      <protection locked="0"/>
    </xf>
    <xf numFmtId="0" fontId="14" fillId="5" borderId="61" xfId="6" applyFont="1" applyFill="1" applyBorder="1" applyAlignment="1" applyProtection="1">
      <alignment horizontal="left" vertical="center"/>
      <protection locked="0"/>
    </xf>
    <xf numFmtId="0" fontId="14" fillId="5" borderId="3" xfId="6" applyFont="1" applyFill="1" applyBorder="1" applyAlignment="1" applyProtection="1">
      <alignment horizontal="left" vertical="center"/>
      <protection locked="0"/>
    </xf>
    <xf numFmtId="41" fontId="16" fillId="2" borderId="12" xfId="7" applyNumberFormat="1" applyFont="1" applyFill="1" applyBorder="1" applyAlignment="1" applyProtection="1">
      <alignment horizontal="center" vertical="center" wrapText="1"/>
      <protection locked="0"/>
    </xf>
    <xf numFmtId="0" fontId="16" fillId="2" borderId="15" xfId="7" applyFont="1" applyFill="1" applyBorder="1" applyAlignment="1" applyProtection="1">
      <alignment horizontal="center" vertical="center" wrapText="1"/>
      <protection locked="0"/>
    </xf>
    <xf numFmtId="0" fontId="19" fillId="6" borderId="14" xfId="9" applyFont="1" applyFill="1" applyBorder="1" applyAlignment="1" applyProtection="1">
      <alignment horizontal="left" vertical="center" wrapText="1"/>
      <protection locked="0"/>
    </xf>
    <xf numFmtId="0" fontId="19" fillId="6" borderId="15" xfId="9" applyFont="1" applyFill="1" applyBorder="1" applyAlignment="1" applyProtection="1">
      <alignment horizontal="left" vertical="center" wrapText="1"/>
      <protection locked="0"/>
    </xf>
    <xf numFmtId="41" fontId="16" fillId="2" borderId="15" xfId="7" applyNumberFormat="1" applyFont="1" applyFill="1" applyBorder="1" applyAlignment="1" applyProtection="1">
      <alignment horizontal="center" vertical="center" wrapText="1"/>
      <protection locked="0"/>
    </xf>
    <xf numFmtId="0" fontId="4" fillId="2" borderId="8" xfId="3" quotePrefix="1" applyNumberFormat="1" applyFont="1" applyFill="1" applyBorder="1" applyAlignment="1" applyProtection="1">
      <alignment horizontal="left" vertical="center"/>
      <protection locked="0"/>
    </xf>
    <xf numFmtId="0" fontId="4" fillId="2" borderId="10" xfId="3" quotePrefix="1" applyNumberFormat="1" applyFont="1" applyFill="1" applyBorder="1" applyAlignment="1" applyProtection="1">
      <alignment horizontal="left" vertical="center"/>
      <protection locked="0"/>
    </xf>
    <xf numFmtId="0" fontId="4" fillId="2" borderId="9" xfId="3" quotePrefix="1" applyNumberFormat="1" applyFont="1" applyFill="1" applyBorder="1" applyAlignment="1" applyProtection="1">
      <alignment horizontal="left" vertical="center"/>
      <protection locked="0"/>
    </xf>
    <xf numFmtId="0" fontId="16" fillId="2" borderId="12" xfId="3" applyFont="1" applyFill="1" applyBorder="1" applyAlignment="1" applyProtection="1">
      <alignment horizontal="left" vertical="center" wrapText="1"/>
      <protection locked="0"/>
    </xf>
    <xf numFmtId="0" fontId="16" fillId="2" borderId="13" xfId="3" applyFont="1" applyFill="1" applyBorder="1" applyAlignment="1" applyProtection="1">
      <alignment horizontal="left" vertical="center" wrapText="1"/>
      <protection locked="0"/>
    </xf>
    <xf numFmtId="0" fontId="16" fillId="5" borderId="1" xfId="6" applyFont="1" applyFill="1" applyBorder="1" applyAlignment="1" applyProtection="1">
      <alignment horizontal="left" vertical="center"/>
      <protection locked="0"/>
    </xf>
    <xf numFmtId="0" fontId="16" fillId="2" borderId="12" xfId="5" applyFont="1" applyFill="1" applyBorder="1" applyAlignment="1" applyProtection="1">
      <alignment horizontal="left" vertical="center"/>
      <protection locked="0"/>
    </xf>
    <xf numFmtId="0" fontId="16" fillId="2" borderId="13" xfId="5" applyFont="1" applyFill="1" applyBorder="1" applyAlignment="1" applyProtection="1">
      <alignment horizontal="left" vertical="center"/>
      <protection locked="0"/>
    </xf>
    <xf numFmtId="0" fontId="14" fillId="5" borderId="2" xfId="6" applyFont="1" applyFill="1" applyBorder="1" applyAlignment="1" applyProtection="1">
      <alignment horizontal="left" vertical="center"/>
      <protection locked="0"/>
    </xf>
    <xf numFmtId="0" fontId="4" fillId="2" borderId="10" xfId="3" applyFont="1" applyFill="1" applyBorder="1" applyAlignment="1" applyProtection="1">
      <alignment horizontal="center" vertical="center"/>
      <protection locked="0"/>
    </xf>
    <xf numFmtId="0" fontId="23" fillId="0" borderId="51" xfId="0" applyFont="1" applyBorder="1" applyAlignment="1">
      <alignment horizontal="center" vertical="center"/>
    </xf>
    <xf numFmtId="0" fontId="23" fillId="0" borderId="54" xfId="0" applyFont="1" applyBorder="1" applyAlignment="1">
      <alignment horizontal="center" vertical="center"/>
    </xf>
    <xf numFmtId="0" fontId="23" fillId="0" borderId="52" xfId="0" applyFont="1" applyBorder="1" applyAlignment="1">
      <alignment horizontal="center" vertical="center"/>
    </xf>
  </cellXfs>
  <cellStyles count="11">
    <cellStyle name="백분율" xfId="2" builtinId="5"/>
    <cellStyle name="쉼표 [0]" xfId="1" builtinId="6"/>
    <cellStyle name="쉼표 [0]_견적서 작성법(원가계산)" xfId="8"/>
    <cellStyle name="표준" xfId="0" builtinId="0"/>
    <cellStyle name="표준 2" xfId="10"/>
    <cellStyle name="표준 2 2" xfId="3"/>
    <cellStyle name="표준 2 2 2" xfId="9"/>
    <cellStyle name="표준_F87_030423_01_발송" xfId="7"/>
    <cellStyle name="표준_Sample견적" xfId="5"/>
    <cellStyle name="표준_견적서 작성법(원가계산)" xfId="6"/>
    <cellStyle name="하이퍼링크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2</xdr:col>
      <xdr:colOff>400050</xdr:colOff>
      <xdr:row>2</xdr:row>
      <xdr:rowOff>19050</xdr:rowOff>
    </xdr:to>
    <xdr:pic>
      <xdr:nvPicPr>
        <xdr:cNvPr id="5" name="그림 3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2001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27</xdr:row>
      <xdr:rowOff>38100</xdr:rowOff>
    </xdr:from>
    <xdr:to>
      <xdr:col>2</xdr:col>
      <xdr:colOff>485775</xdr:colOff>
      <xdr:row>29</xdr:row>
      <xdr:rowOff>19050</xdr:rowOff>
    </xdr:to>
    <xdr:pic>
      <xdr:nvPicPr>
        <xdr:cNvPr id="6" name="Picture 1048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4667250"/>
          <a:ext cx="7143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142875</xdr:rowOff>
        </xdr:from>
        <xdr:to>
          <xdr:col>16</xdr:col>
          <xdr:colOff>19050</xdr:colOff>
          <xdr:row>30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문서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1038225</xdr:colOff>
          <xdr:row>31</xdr:row>
          <xdr:rowOff>95250</xdr:rowOff>
        </xdr:from>
        <xdr:to>
          <xdr:col>16</xdr:col>
          <xdr:colOff>28575</xdr:colOff>
          <xdr:row>34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견적서 수식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1028700</xdr:colOff>
          <xdr:row>35</xdr:row>
          <xdr:rowOff>57150</xdr:rowOff>
        </xdr:from>
        <xdr:to>
          <xdr:col>16</xdr:col>
          <xdr:colOff>38100</xdr:colOff>
          <xdr:row>39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 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2</xdr:col>
      <xdr:colOff>400050</xdr:colOff>
      <xdr:row>2</xdr:row>
      <xdr:rowOff>19050</xdr:rowOff>
    </xdr:to>
    <xdr:pic>
      <xdr:nvPicPr>
        <xdr:cNvPr id="2" name="그림 3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2001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27</xdr:row>
      <xdr:rowOff>38100</xdr:rowOff>
    </xdr:from>
    <xdr:to>
      <xdr:col>2</xdr:col>
      <xdr:colOff>482600</xdr:colOff>
      <xdr:row>29</xdr:row>
      <xdr:rowOff>19050</xdr:rowOff>
    </xdr:to>
    <xdr:pic>
      <xdr:nvPicPr>
        <xdr:cNvPr id="3" name="Picture 1048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4667250"/>
          <a:ext cx="7143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25</xdr:row>
          <xdr:rowOff>161925</xdr:rowOff>
        </xdr:from>
        <xdr:to>
          <xdr:col>16</xdr:col>
          <xdr:colOff>28575</xdr:colOff>
          <xdr:row>29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xmlns="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문서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30</xdr:row>
          <xdr:rowOff>114300</xdr:rowOff>
        </xdr:from>
        <xdr:to>
          <xdr:col>16</xdr:col>
          <xdr:colOff>28575</xdr:colOff>
          <xdr:row>34</xdr:row>
          <xdr:rowOff>85725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견적서 수식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35</xdr:row>
          <xdr:rowOff>76200</xdr:rowOff>
        </xdr:from>
        <xdr:to>
          <xdr:col>16</xdr:col>
          <xdr:colOff>47625</xdr:colOff>
          <xdr:row>41</xdr:row>
          <xdr:rowOff>57150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 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2</xdr:col>
      <xdr:colOff>400050</xdr:colOff>
      <xdr:row>2</xdr:row>
      <xdr:rowOff>19050</xdr:rowOff>
    </xdr:to>
    <xdr:pic>
      <xdr:nvPicPr>
        <xdr:cNvPr id="2" name="그림 3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2001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30</xdr:row>
      <xdr:rowOff>38100</xdr:rowOff>
    </xdr:from>
    <xdr:to>
      <xdr:col>2</xdr:col>
      <xdr:colOff>485775</xdr:colOff>
      <xdr:row>32</xdr:row>
      <xdr:rowOff>19050</xdr:rowOff>
    </xdr:to>
    <xdr:pic>
      <xdr:nvPicPr>
        <xdr:cNvPr id="3" name="Picture 1048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5181600"/>
          <a:ext cx="7143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1800225</xdr:colOff>
          <xdr:row>51</xdr:row>
          <xdr:rowOff>28575</xdr:rowOff>
        </xdr:from>
        <xdr:to>
          <xdr:col>12</xdr:col>
          <xdr:colOff>38100</xdr:colOff>
          <xdr:row>54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문서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314325</xdr:colOff>
          <xdr:row>51</xdr:row>
          <xdr:rowOff>19050</xdr:rowOff>
        </xdr:from>
        <xdr:to>
          <xdr:col>13</xdr:col>
          <xdr:colOff>609600</xdr:colOff>
          <xdr:row>54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견적서 수식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800100</xdr:colOff>
          <xdr:row>51</xdr:row>
          <xdr:rowOff>19050</xdr:rowOff>
        </xdr:from>
        <xdr:to>
          <xdr:col>14</xdr:col>
          <xdr:colOff>542925</xdr:colOff>
          <xdr:row>54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 툴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1028700</xdr:colOff>
          <xdr:row>23</xdr:row>
          <xdr:rowOff>9525</xdr:rowOff>
        </xdr:from>
        <xdr:to>
          <xdr:col>16</xdr:col>
          <xdr:colOff>9525</xdr:colOff>
          <xdr:row>26</xdr:row>
          <xdr:rowOff>123825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xmlns="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문서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1028700</xdr:colOff>
          <xdr:row>27</xdr:row>
          <xdr:rowOff>133350</xdr:rowOff>
        </xdr:from>
        <xdr:to>
          <xdr:col>16</xdr:col>
          <xdr:colOff>19050</xdr:colOff>
          <xdr:row>31</xdr:row>
          <xdr:rowOff>104775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xmlns="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견적서 수식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1019175</xdr:colOff>
          <xdr:row>32</xdr:row>
          <xdr:rowOff>95250</xdr:rowOff>
        </xdr:from>
        <xdr:to>
          <xdr:col>16</xdr:col>
          <xdr:colOff>28575</xdr:colOff>
          <xdr:row>35</xdr:row>
          <xdr:rowOff>247650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xmlns="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 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2</xdr:col>
      <xdr:colOff>400050</xdr:colOff>
      <xdr:row>2</xdr:row>
      <xdr:rowOff>19050</xdr:rowOff>
    </xdr:to>
    <xdr:pic>
      <xdr:nvPicPr>
        <xdr:cNvPr id="2" name="그림 3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2001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31</xdr:row>
      <xdr:rowOff>38100</xdr:rowOff>
    </xdr:from>
    <xdr:to>
      <xdr:col>2</xdr:col>
      <xdr:colOff>485775</xdr:colOff>
      <xdr:row>33</xdr:row>
      <xdr:rowOff>19050</xdr:rowOff>
    </xdr:to>
    <xdr:pic>
      <xdr:nvPicPr>
        <xdr:cNvPr id="3" name="Picture 1048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5181600"/>
          <a:ext cx="7143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1028700</xdr:colOff>
          <xdr:row>24</xdr:row>
          <xdr:rowOff>0</xdr:rowOff>
        </xdr:from>
        <xdr:to>
          <xdr:col>17</xdr:col>
          <xdr:colOff>19050</xdr:colOff>
          <xdr:row>26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문서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1028700</xdr:colOff>
          <xdr:row>27</xdr:row>
          <xdr:rowOff>123825</xdr:rowOff>
        </xdr:from>
        <xdr:to>
          <xdr:col>17</xdr:col>
          <xdr:colOff>19050</xdr:colOff>
          <xdr:row>32</xdr:row>
          <xdr:rowOff>95250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견적서 수식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1028700</xdr:colOff>
          <xdr:row>33</xdr:row>
          <xdr:rowOff>85725</xdr:rowOff>
        </xdr:from>
        <xdr:to>
          <xdr:col>17</xdr:col>
          <xdr:colOff>38100</xdr:colOff>
          <xdr:row>36</xdr:row>
          <xdr:rowOff>238125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xmlns="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 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2</xdr:col>
      <xdr:colOff>400050</xdr:colOff>
      <xdr:row>2</xdr:row>
      <xdr:rowOff>19050</xdr:rowOff>
    </xdr:to>
    <xdr:pic>
      <xdr:nvPicPr>
        <xdr:cNvPr id="2" name="그림 3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2001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30</xdr:row>
      <xdr:rowOff>38100</xdr:rowOff>
    </xdr:from>
    <xdr:to>
      <xdr:col>2</xdr:col>
      <xdr:colOff>485775</xdr:colOff>
      <xdr:row>32</xdr:row>
      <xdr:rowOff>19050</xdr:rowOff>
    </xdr:to>
    <xdr:pic>
      <xdr:nvPicPr>
        <xdr:cNvPr id="3" name="Picture 1048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4667250"/>
          <a:ext cx="7143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1019175</xdr:colOff>
          <xdr:row>27</xdr:row>
          <xdr:rowOff>0</xdr:rowOff>
        </xdr:from>
        <xdr:to>
          <xdr:col>17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xmlns="" id="{00000000-0008-0000-05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문서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1019175</xdr:colOff>
          <xdr:row>30</xdr:row>
          <xdr:rowOff>123825</xdr:rowOff>
        </xdr:from>
        <xdr:to>
          <xdr:col>17</xdr:col>
          <xdr:colOff>9525</xdr:colOff>
          <xdr:row>34</xdr:row>
          <xdr:rowOff>95250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xmlns="" id="{00000000-0008-0000-05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견적서 수식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1009650</xdr:colOff>
          <xdr:row>35</xdr:row>
          <xdr:rowOff>85725</xdr:rowOff>
        </xdr:from>
        <xdr:to>
          <xdr:col>17</xdr:col>
          <xdr:colOff>19050</xdr:colOff>
          <xdr:row>38</xdr:row>
          <xdr:rowOff>66675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xmlns="" id="{00000000-0008-0000-05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 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514350</xdr:colOff>
      <xdr:row>1</xdr:row>
      <xdr:rowOff>142875</xdr:rowOff>
    </xdr:to>
    <xdr:pic>
      <xdr:nvPicPr>
        <xdr:cNvPr id="2" name="그림 3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2001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27</xdr:row>
      <xdr:rowOff>38100</xdr:rowOff>
    </xdr:from>
    <xdr:to>
      <xdr:col>2</xdr:col>
      <xdr:colOff>76200</xdr:colOff>
      <xdr:row>28</xdr:row>
      <xdr:rowOff>152400</xdr:rowOff>
    </xdr:to>
    <xdr:pic>
      <xdr:nvPicPr>
        <xdr:cNvPr id="3" name="Picture 1048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4667250"/>
          <a:ext cx="7143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gspark@gluesys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gspark@gluesys.com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gspark@gluesys.com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gspark@gluesys.com" TargetMode="Externa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gspark@gluesys.com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gspark@gluesy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116"/>
  <sheetViews>
    <sheetView tabSelected="1" topLeftCell="A4" workbookViewId="0">
      <selection activeCell="F17" sqref="F17"/>
    </sheetView>
  </sheetViews>
  <sheetFormatPr defaultRowHeight="16.5" x14ac:dyDescent="0.3"/>
  <cols>
    <col min="4" max="4" width="16.25" customWidth="1"/>
    <col min="6" max="6" width="56.875" customWidth="1"/>
    <col min="7" max="7" width="16.875" customWidth="1"/>
    <col min="8" max="8" width="14.375" bestFit="1" customWidth="1"/>
    <col min="9" max="9" width="15.25" customWidth="1"/>
    <col min="10" max="10" width="15.625" customWidth="1"/>
    <col min="11" max="11" width="20.25" customWidth="1"/>
  </cols>
  <sheetData>
    <row r="1" spans="2:12" ht="17.25" thickBot="1" x14ac:dyDescent="0.35"/>
    <row r="2" spans="2:12" ht="17.25" thickBot="1" x14ac:dyDescent="0.35">
      <c r="B2" s="141" t="s">
        <v>117</v>
      </c>
      <c r="C2" s="142" t="s">
        <v>118</v>
      </c>
      <c r="D2" s="142" t="s">
        <v>116</v>
      </c>
      <c r="E2" s="142"/>
      <c r="F2" s="142" t="s">
        <v>119</v>
      </c>
      <c r="G2" s="143" t="s">
        <v>115</v>
      </c>
    </row>
    <row r="3" spans="2:12" ht="17.25" thickBot="1" x14ac:dyDescent="0.35">
      <c r="B3" s="226" t="s">
        <v>0</v>
      </c>
      <c r="C3" s="117" t="s">
        <v>120</v>
      </c>
      <c r="D3" s="115" t="s">
        <v>1</v>
      </c>
      <c r="E3" s="115"/>
      <c r="F3" s="115" t="s">
        <v>211</v>
      </c>
      <c r="G3" s="144">
        <v>40000000</v>
      </c>
      <c r="I3" s="209" t="s">
        <v>2</v>
      </c>
      <c r="J3" s="210"/>
      <c r="K3" s="211"/>
      <c r="L3" s="132"/>
    </row>
    <row r="4" spans="2:12" x14ac:dyDescent="0.3">
      <c r="B4" s="227"/>
      <c r="C4" s="5"/>
      <c r="D4" s="2" t="s">
        <v>3</v>
      </c>
      <c r="E4" s="2"/>
      <c r="F4" s="2" t="s">
        <v>212</v>
      </c>
      <c r="G4" s="145">
        <v>36000000</v>
      </c>
      <c r="I4" s="7" t="s">
        <v>4</v>
      </c>
      <c r="J4" s="8" t="s">
        <v>5</v>
      </c>
      <c r="K4" s="133" t="s">
        <v>6</v>
      </c>
      <c r="L4" s="9" t="s">
        <v>309</v>
      </c>
    </row>
    <row r="5" spans="2:12" x14ac:dyDescent="0.3">
      <c r="B5" s="227"/>
      <c r="C5" s="5" t="s">
        <v>325</v>
      </c>
      <c r="D5" s="2" t="s">
        <v>7</v>
      </c>
      <c r="E5" s="2"/>
      <c r="F5" s="2" t="s">
        <v>213</v>
      </c>
      <c r="G5" s="145">
        <v>50000000</v>
      </c>
      <c r="I5" s="10" t="s">
        <v>454</v>
      </c>
      <c r="J5" s="12" t="s">
        <v>8</v>
      </c>
      <c r="K5" s="134" t="s">
        <v>9</v>
      </c>
      <c r="L5" s="136">
        <v>5371</v>
      </c>
    </row>
    <row r="6" spans="2:12" x14ac:dyDescent="0.3">
      <c r="B6" s="227"/>
      <c r="C6" s="5"/>
      <c r="D6" s="2" t="s">
        <v>10</v>
      </c>
      <c r="E6" s="2"/>
      <c r="F6" s="2" t="s">
        <v>214</v>
      </c>
      <c r="G6" s="145">
        <v>43000000</v>
      </c>
      <c r="I6" s="10" t="s">
        <v>455</v>
      </c>
      <c r="J6" s="12" t="s">
        <v>235</v>
      </c>
      <c r="K6" s="134" t="s">
        <v>11</v>
      </c>
      <c r="L6" s="136">
        <v>8158</v>
      </c>
    </row>
    <row r="7" spans="2:12" x14ac:dyDescent="0.3">
      <c r="B7" s="227"/>
      <c r="C7" s="5" t="s">
        <v>326</v>
      </c>
      <c r="D7" s="2" t="s">
        <v>12</v>
      </c>
      <c r="E7" s="2"/>
      <c r="F7" s="2" t="s">
        <v>13</v>
      </c>
      <c r="G7" s="145">
        <v>60000000</v>
      </c>
      <c r="I7" s="10" t="s">
        <v>456</v>
      </c>
      <c r="J7" s="12" t="s">
        <v>236</v>
      </c>
      <c r="K7" s="134" t="s">
        <v>14</v>
      </c>
      <c r="L7" s="136">
        <v>5302</v>
      </c>
    </row>
    <row r="8" spans="2:12" x14ac:dyDescent="0.3">
      <c r="B8" s="227"/>
      <c r="C8" s="5" t="s">
        <v>326</v>
      </c>
      <c r="D8" s="2" t="s">
        <v>15</v>
      </c>
      <c r="E8" s="2"/>
      <c r="F8" s="2" t="s">
        <v>16</v>
      </c>
      <c r="G8" s="145">
        <v>65000000</v>
      </c>
      <c r="I8" s="10" t="s">
        <v>457</v>
      </c>
      <c r="J8" s="12" t="s">
        <v>17</v>
      </c>
      <c r="K8" s="134" t="s">
        <v>18</v>
      </c>
      <c r="L8" s="136">
        <v>5301</v>
      </c>
    </row>
    <row r="9" spans="2:12" ht="17.25" thickBot="1" x14ac:dyDescent="0.35">
      <c r="B9" s="227"/>
      <c r="C9" s="5" t="s">
        <v>330</v>
      </c>
      <c r="D9" s="2" t="s">
        <v>19</v>
      </c>
      <c r="E9" s="2"/>
      <c r="F9" s="2" t="s">
        <v>20</v>
      </c>
      <c r="G9" s="145">
        <v>70000000</v>
      </c>
      <c r="I9" s="11" t="s">
        <v>458</v>
      </c>
      <c r="J9" s="13" t="s">
        <v>237</v>
      </c>
      <c r="K9" s="135" t="s">
        <v>21</v>
      </c>
      <c r="L9" s="137">
        <v>5374</v>
      </c>
    </row>
    <row r="10" spans="2:12" ht="17.25" thickBot="1" x14ac:dyDescent="0.35">
      <c r="B10" s="227"/>
      <c r="C10" s="5" t="s">
        <v>330</v>
      </c>
      <c r="D10" s="2" t="s">
        <v>22</v>
      </c>
      <c r="E10" s="2"/>
      <c r="F10" s="2" t="s">
        <v>23</v>
      </c>
      <c r="G10" s="145">
        <v>85000000</v>
      </c>
      <c r="I10" s="1"/>
      <c r="J10" s="1"/>
      <c r="K10" s="1"/>
    </row>
    <row r="11" spans="2:12" ht="17.25" thickBot="1" x14ac:dyDescent="0.35">
      <c r="B11" s="227"/>
      <c r="C11" s="5"/>
      <c r="D11" s="2" t="s">
        <v>24</v>
      </c>
      <c r="E11" s="214" t="s">
        <v>25</v>
      </c>
      <c r="F11" s="2" t="s">
        <v>26</v>
      </c>
      <c r="G11" s="145">
        <v>90000000</v>
      </c>
      <c r="I11" s="217" t="s">
        <v>253</v>
      </c>
      <c r="J11" s="218"/>
      <c r="K11" s="219"/>
    </row>
    <row r="12" spans="2:12" ht="17.25" thickBot="1" x14ac:dyDescent="0.35">
      <c r="B12" s="228"/>
      <c r="C12" s="146"/>
      <c r="D12" s="3" t="s">
        <v>27</v>
      </c>
      <c r="E12" s="215"/>
      <c r="F12" s="3" t="s">
        <v>28</v>
      </c>
      <c r="G12" s="147">
        <v>93000000</v>
      </c>
      <c r="I12" s="119" t="s">
        <v>478</v>
      </c>
      <c r="J12" s="120" t="s">
        <v>244</v>
      </c>
      <c r="K12" s="121" t="s">
        <v>255</v>
      </c>
    </row>
    <row r="13" spans="2:12" ht="17.100000000000001" customHeight="1" x14ac:dyDescent="0.3">
      <c r="B13" s="226" t="s">
        <v>29</v>
      </c>
      <c r="C13" s="233" t="s">
        <v>400</v>
      </c>
      <c r="D13" s="115" t="s">
        <v>392</v>
      </c>
      <c r="E13" s="115" t="s">
        <v>414</v>
      </c>
      <c r="F13" s="115" t="s">
        <v>386</v>
      </c>
      <c r="G13" s="144">
        <v>85000000</v>
      </c>
      <c r="I13" s="122" t="s">
        <v>479</v>
      </c>
      <c r="J13" s="123" t="s">
        <v>245</v>
      </c>
      <c r="K13" s="124" t="s">
        <v>256</v>
      </c>
    </row>
    <row r="14" spans="2:12" x14ac:dyDescent="0.3">
      <c r="B14" s="227"/>
      <c r="C14" s="224"/>
      <c r="D14" s="2" t="s">
        <v>393</v>
      </c>
      <c r="E14" s="2" t="s">
        <v>415</v>
      </c>
      <c r="F14" s="2" t="s">
        <v>387</v>
      </c>
      <c r="G14" s="145">
        <v>93000000</v>
      </c>
      <c r="I14" s="122" t="s">
        <v>480</v>
      </c>
      <c r="J14" s="123" t="s">
        <v>246</v>
      </c>
      <c r="K14" s="124" t="s">
        <v>247</v>
      </c>
    </row>
    <row r="15" spans="2:12" x14ac:dyDescent="0.3">
      <c r="B15" s="227"/>
      <c r="C15" s="224"/>
      <c r="D15" s="2" t="s">
        <v>394</v>
      </c>
      <c r="E15" s="2" t="s">
        <v>416</v>
      </c>
      <c r="F15" s="2" t="s">
        <v>388</v>
      </c>
      <c r="G15" s="145">
        <v>100000000</v>
      </c>
      <c r="I15" s="122" t="s">
        <v>481</v>
      </c>
      <c r="J15" s="123" t="s">
        <v>251</v>
      </c>
      <c r="K15" s="124" t="s">
        <v>257</v>
      </c>
    </row>
    <row r="16" spans="2:12" x14ac:dyDescent="0.3">
      <c r="B16" s="227"/>
      <c r="C16" s="224"/>
      <c r="D16" s="2" t="s">
        <v>395</v>
      </c>
      <c r="E16" s="166" t="s">
        <v>417</v>
      </c>
      <c r="F16" s="2" t="s">
        <v>389</v>
      </c>
      <c r="G16" s="145">
        <v>150000000</v>
      </c>
      <c r="I16" s="122" t="s">
        <v>248</v>
      </c>
      <c r="J16" s="123" t="s">
        <v>249</v>
      </c>
      <c r="K16" s="124" t="s">
        <v>258</v>
      </c>
    </row>
    <row r="17" spans="2:11" ht="17.25" thickBot="1" x14ac:dyDescent="0.35">
      <c r="B17" s="227"/>
      <c r="C17" s="224"/>
      <c r="D17" s="2" t="s">
        <v>396</v>
      </c>
      <c r="E17" s="2"/>
      <c r="F17" s="2" t="s">
        <v>390</v>
      </c>
      <c r="G17" s="145">
        <v>157000000</v>
      </c>
      <c r="I17" s="125" t="s">
        <v>254</v>
      </c>
      <c r="J17" s="126" t="s">
        <v>252</v>
      </c>
      <c r="K17" s="127" t="s">
        <v>335</v>
      </c>
    </row>
    <row r="18" spans="2:11" x14ac:dyDescent="0.3">
      <c r="B18" s="227"/>
      <c r="C18" s="234"/>
      <c r="D18" s="159" t="s">
        <v>397</v>
      </c>
      <c r="E18" s="159"/>
      <c r="F18" s="159" t="s">
        <v>391</v>
      </c>
      <c r="G18" s="160">
        <v>240000000</v>
      </c>
    </row>
    <row r="19" spans="2:11" x14ac:dyDescent="0.3">
      <c r="B19" s="227"/>
      <c r="C19" s="224" t="s">
        <v>401</v>
      </c>
      <c r="D19" s="2" t="s">
        <v>393</v>
      </c>
      <c r="E19" s="2"/>
      <c r="F19" s="2" t="s">
        <v>30</v>
      </c>
      <c r="G19" s="145">
        <v>190000000</v>
      </c>
    </row>
    <row r="20" spans="2:11" x14ac:dyDescent="0.3">
      <c r="B20" s="227"/>
      <c r="C20" s="224"/>
      <c r="D20" s="2" t="s">
        <v>395</v>
      </c>
      <c r="E20" s="2"/>
      <c r="F20" s="2" t="s">
        <v>31</v>
      </c>
      <c r="G20" s="145">
        <v>260000000</v>
      </c>
      <c r="H20" s="14"/>
      <c r="I20" s="91"/>
    </row>
    <row r="21" spans="2:11" x14ac:dyDescent="0.3">
      <c r="B21" s="227"/>
      <c r="C21" s="224"/>
      <c r="D21" s="2" t="s">
        <v>397</v>
      </c>
      <c r="E21" s="2"/>
      <c r="F21" s="2" t="s">
        <v>32</v>
      </c>
      <c r="G21" s="145">
        <v>540000000</v>
      </c>
    </row>
    <row r="22" spans="2:11" x14ac:dyDescent="0.3">
      <c r="B22" s="227"/>
      <c r="C22" s="224" t="s">
        <v>402</v>
      </c>
      <c r="D22" s="166" t="s">
        <v>403</v>
      </c>
      <c r="E22" s="2"/>
      <c r="F22" s="166" t="s">
        <v>407</v>
      </c>
      <c r="G22" s="145">
        <v>15000000</v>
      </c>
      <c r="H22" s="167"/>
    </row>
    <row r="23" spans="2:11" x14ac:dyDescent="0.3">
      <c r="B23" s="227"/>
      <c r="C23" s="224"/>
      <c r="D23" s="166" t="s">
        <v>404</v>
      </c>
      <c r="E23" s="2"/>
      <c r="F23" s="166" t="s">
        <v>408</v>
      </c>
      <c r="G23" s="145">
        <v>25000000</v>
      </c>
      <c r="H23" s="167"/>
    </row>
    <row r="24" spans="2:11" ht="17.25" thickBot="1" x14ac:dyDescent="0.35">
      <c r="B24" s="228"/>
      <c r="C24" s="225"/>
      <c r="D24" s="166" t="s">
        <v>405</v>
      </c>
      <c r="E24" s="2"/>
      <c r="F24" s="166" t="s">
        <v>418</v>
      </c>
      <c r="G24" s="145"/>
    </row>
    <row r="25" spans="2:11" ht="17.25" thickBot="1" x14ac:dyDescent="0.35">
      <c r="B25" s="226" t="s">
        <v>33</v>
      </c>
      <c r="C25" s="115"/>
      <c r="D25" s="115" t="s">
        <v>34</v>
      </c>
      <c r="E25" s="115"/>
      <c r="F25" s="115" t="s">
        <v>35</v>
      </c>
      <c r="G25" s="144">
        <v>175000000</v>
      </c>
      <c r="I25" s="220" t="s">
        <v>324</v>
      </c>
      <c r="J25" s="221"/>
    </row>
    <row r="26" spans="2:11" x14ac:dyDescent="0.3">
      <c r="B26" s="227"/>
      <c r="C26" s="2"/>
      <c r="D26" s="2" t="s">
        <v>36</v>
      </c>
      <c r="E26" s="2"/>
      <c r="F26" s="2" t="s">
        <v>37</v>
      </c>
      <c r="G26" s="145">
        <v>205000000</v>
      </c>
      <c r="I26" s="138" t="s">
        <v>484</v>
      </c>
      <c r="J26" s="118" t="s">
        <v>312</v>
      </c>
      <c r="K26" s="222" t="s">
        <v>120</v>
      </c>
    </row>
    <row r="27" spans="2:11" x14ac:dyDescent="0.3">
      <c r="B27" s="227"/>
      <c r="C27" s="2"/>
      <c r="D27" s="2" t="s">
        <v>38</v>
      </c>
      <c r="E27" s="2"/>
      <c r="F27" s="2" t="s">
        <v>39</v>
      </c>
      <c r="G27" s="145">
        <v>185000000</v>
      </c>
      <c r="I27" s="4" t="s">
        <v>305</v>
      </c>
      <c r="J27" s="6" t="s">
        <v>313</v>
      </c>
      <c r="K27" s="212"/>
    </row>
    <row r="28" spans="2:11" ht="17.25" thickBot="1" x14ac:dyDescent="0.35">
      <c r="B28" s="228"/>
      <c r="C28" s="3"/>
      <c r="D28" s="3" t="s">
        <v>40</v>
      </c>
      <c r="E28" s="3"/>
      <c r="F28" s="3" t="s">
        <v>336</v>
      </c>
      <c r="G28" s="147">
        <v>215000000</v>
      </c>
      <c r="I28" s="139" t="s">
        <v>307</v>
      </c>
      <c r="J28" s="140" t="s">
        <v>316</v>
      </c>
      <c r="K28" s="213"/>
    </row>
    <row r="29" spans="2:11" x14ac:dyDescent="0.3">
      <c r="B29" s="226" t="s">
        <v>126</v>
      </c>
      <c r="C29" s="115"/>
      <c r="D29" s="115"/>
      <c r="E29" s="115"/>
      <c r="F29" s="115" t="s">
        <v>127</v>
      </c>
      <c r="G29" s="144">
        <v>1700000</v>
      </c>
      <c r="H29" s="14"/>
      <c r="I29" s="138" t="s">
        <v>311</v>
      </c>
      <c r="J29" s="118" t="s">
        <v>314</v>
      </c>
      <c r="K29" s="222" t="s">
        <v>325</v>
      </c>
    </row>
    <row r="30" spans="2:11" x14ac:dyDescent="0.3">
      <c r="B30" s="227"/>
      <c r="C30" s="2"/>
      <c r="D30" s="2"/>
      <c r="E30" s="2"/>
      <c r="F30" s="2" t="s">
        <v>128</v>
      </c>
      <c r="G30" s="145">
        <v>3600000</v>
      </c>
      <c r="I30" s="4" t="s">
        <v>306</v>
      </c>
      <c r="J30" s="6" t="s">
        <v>315</v>
      </c>
      <c r="K30" s="212"/>
    </row>
    <row r="31" spans="2:11" ht="17.25" thickBot="1" x14ac:dyDescent="0.35">
      <c r="B31" s="228"/>
      <c r="C31" s="3"/>
      <c r="D31" s="3"/>
      <c r="E31" s="3"/>
      <c r="F31" s="3" t="s">
        <v>129</v>
      </c>
      <c r="G31" s="147">
        <v>8000000</v>
      </c>
      <c r="I31" s="139" t="s">
        <v>308</v>
      </c>
      <c r="J31" s="140" t="s">
        <v>317</v>
      </c>
      <c r="K31" s="213"/>
    </row>
    <row r="32" spans="2:11" x14ac:dyDescent="0.3">
      <c r="B32" s="229" t="s">
        <v>198</v>
      </c>
      <c r="C32" s="230" t="s">
        <v>199</v>
      </c>
      <c r="D32" s="115" t="s">
        <v>102</v>
      </c>
      <c r="E32" s="115"/>
      <c r="F32" s="115" t="s">
        <v>130</v>
      </c>
      <c r="G32" s="144">
        <v>1000000</v>
      </c>
      <c r="I32" s="138" t="s">
        <v>318</v>
      </c>
      <c r="J32" s="118" t="s">
        <v>319</v>
      </c>
      <c r="K32" s="212" t="s">
        <v>326</v>
      </c>
    </row>
    <row r="33" spans="2:11" x14ac:dyDescent="0.3">
      <c r="B33" s="231"/>
      <c r="C33" s="214"/>
      <c r="D33" s="2" t="s">
        <v>103</v>
      </c>
      <c r="E33" s="2"/>
      <c r="F33" s="2" t="s">
        <v>131</v>
      </c>
      <c r="G33" s="145">
        <v>2000000</v>
      </c>
      <c r="I33" s="4" t="s">
        <v>321</v>
      </c>
      <c r="J33" s="6" t="s">
        <v>320</v>
      </c>
      <c r="K33" s="212"/>
    </row>
    <row r="34" spans="2:11" ht="17.25" thickBot="1" x14ac:dyDescent="0.35">
      <c r="B34" s="231"/>
      <c r="C34" s="214"/>
      <c r="D34" s="2" t="s">
        <v>104</v>
      </c>
      <c r="E34" s="2"/>
      <c r="F34" s="2" t="s">
        <v>132</v>
      </c>
      <c r="G34" s="145">
        <v>3000000</v>
      </c>
      <c r="I34" s="139" t="s">
        <v>322</v>
      </c>
      <c r="J34" s="140" t="s">
        <v>323</v>
      </c>
      <c r="K34" s="213"/>
    </row>
    <row r="35" spans="2:11" ht="17.25" thickBot="1" x14ac:dyDescent="0.35">
      <c r="B35" s="231"/>
      <c r="C35" s="214"/>
      <c r="D35" s="2" t="s">
        <v>158</v>
      </c>
      <c r="E35" s="2"/>
      <c r="F35" s="2" t="s">
        <v>133</v>
      </c>
      <c r="G35" s="145">
        <v>3500000</v>
      </c>
    </row>
    <row r="36" spans="2:11" ht="17.25" thickBot="1" x14ac:dyDescent="0.35">
      <c r="B36" s="231"/>
      <c r="C36" s="214"/>
      <c r="D36" s="2" t="s">
        <v>159</v>
      </c>
      <c r="E36" s="2"/>
      <c r="F36" s="2" t="s">
        <v>134</v>
      </c>
      <c r="G36" s="145">
        <v>4000000</v>
      </c>
      <c r="I36" s="220" t="s">
        <v>259</v>
      </c>
      <c r="J36" s="221"/>
    </row>
    <row r="37" spans="2:11" x14ac:dyDescent="0.3">
      <c r="B37" s="231"/>
      <c r="C37" s="214"/>
      <c r="D37" s="2" t="s">
        <v>160</v>
      </c>
      <c r="E37" s="2"/>
      <c r="F37" s="2" t="s">
        <v>135</v>
      </c>
      <c r="G37" s="145">
        <v>4500000</v>
      </c>
      <c r="I37" s="114" t="s">
        <v>264</v>
      </c>
      <c r="J37" s="128" t="s">
        <v>399</v>
      </c>
    </row>
    <row r="38" spans="2:11" ht="17.25" thickBot="1" x14ac:dyDescent="0.35">
      <c r="B38" s="231"/>
      <c r="C38" s="214"/>
      <c r="D38" s="2" t="s">
        <v>161</v>
      </c>
      <c r="E38" s="2"/>
      <c r="F38" s="2" t="s">
        <v>136</v>
      </c>
      <c r="G38" s="145">
        <v>5110000</v>
      </c>
      <c r="I38" s="116" t="s">
        <v>265</v>
      </c>
      <c r="J38" s="129" t="s">
        <v>398</v>
      </c>
    </row>
    <row r="39" spans="2:11" x14ac:dyDescent="0.3">
      <c r="B39" s="231"/>
      <c r="C39" s="214"/>
      <c r="D39" s="2" t="s">
        <v>162</v>
      </c>
      <c r="E39" s="2"/>
      <c r="F39" s="2" t="s">
        <v>137</v>
      </c>
      <c r="G39" s="145">
        <v>6440000</v>
      </c>
    </row>
    <row r="40" spans="2:11" x14ac:dyDescent="0.3">
      <c r="B40" s="231"/>
      <c r="C40" s="214"/>
      <c r="D40" s="2" t="s">
        <v>163</v>
      </c>
      <c r="E40" s="2"/>
      <c r="F40" s="2" t="s">
        <v>138</v>
      </c>
      <c r="G40" s="145">
        <v>7440000</v>
      </c>
    </row>
    <row r="41" spans="2:11" x14ac:dyDescent="0.3">
      <c r="B41" s="231"/>
      <c r="C41" s="214"/>
      <c r="D41" s="2" t="s">
        <v>164</v>
      </c>
      <c r="E41" s="2"/>
      <c r="F41" s="2" t="s">
        <v>156</v>
      </c>
      <c r="G41" s="145">
        <v>8440000</v>
      </c>
    </row>
    <row r="42" spans="2:11" x14ac:dyDescent="0.3">
      <c r="B42" s="231"/>
      <c r="C42" s="214"/>
      <c r="D42" s="2" t="s">
        <v>165</v>
      </c>
      <c r="E42" s="2"/>
      <c r="F42" s="2" t="s">
        <v>157</v>
      </c>
      <c r="G42" s="145">
        <v>9440000</v>
      </c>
    </row>
    <row r="43" spans="2:11" x14ac:dyDescent="0.3">
      <c r="B43" s="231"/>
      <c r="C43" s="214" t="s">
        <v>200</v>
      </c>
      <c r="D43" s="2" t="s">
        <v>166</v>
      </c>
      <c r="E43" s="2"/>
      <c r="F43" s="2" t="s">
        <v>139</v>
      </c>
      <c r="G43" s="145">
        <v>1500000</v>
      </c>
    </row>
    <row r="44" spans="2:11" x14ac:dyDescent="0.3">
      <c r="B44" s="231"/>
      <c r="C44" s="214"/>
      <c r="D44" s="2" t="s">
        <v>167</v>
      </c>
      <c r="E44" s="2"/>
      <c r="F44" s="2" t="s">
        <v>140</v>
      </c>
      <c r="G44" s="145">
        <v>2500000</v>
      </c>
    </row>
    <row r="45" spans="2:11" x14ac:dyDescent="0.3">
      <c r="B45" s="231"/>
      <c r="C45" s="214"/>
      <c r="D45" s="2" t="s">
        <v>168</v>
      </c>
      <c r="E45" s="2"/>
      <c r="F45" s="2" t="s">
        <v>141</v>
      </c>
      <c r="G45" s="145">
        <v>3600000</v>
      </c>
    </row>
    <row r="46" spans="2:11" x14ac:dyDescent="0.3">
      <c r="B46" s="231"/>
      <c r="C46" s="214"/>
      <c r="D46" s="2" t="s">
        <v>169</v>
      </c>
      <c r="E46" s="2"/>
      <c r="F46" s="2" t="s">
        <v>142</v>
      </c>
      <c r="G46" s="145">
        <v>4200000</v>
      </c>
    </row>
    <row r="47" spans="2:11" x14ac:dyDescent="0.3">
      <c r="B47" s="231"/>
      <c r="C47" s="214"/>
      <c r="D47" s="2" t="s">
        <v>170</v>
      </c>
      <c r="E47" s="2"/>
      <c r="F47" s="2" t="s">
        <v>143</v>
      </c>
      <c r="G47" s="145">
        <v>4600000</v>
      </c>
    </row>
    <row r="48" spans="2:11" x14ac:dyDescent="0.3">
      <c r="B48" s="231"/>
      <c r="C48" s="214"/>
      <c r="D48" s="2" t="s">
        <v>171</v>
      </c>
      <c r="E48" s="2"/>
      <c r="F48" s="2" t="s">
        <v>144</v>
      </c>
      <c r="G48" s="145">
        <v>5000000</v>
      </c>
    </row>
    <row r="49" spans="2:7" x14ac:dyDescent="0.3">
      <c r="B49" s="231"/>
      <c r="C49" s="214"/>
      <c r="D49" s="2" t="s">
        <v>172</v>
      </c>
      <c r="E49" s="2"/>
      <c r="F49" s="2" t="s">
        <v>145</v>
      </c>
      <c r="G49" s="145">
        <v>5560000</v>
      </c>
    </row>
    <row r="50" spans="2:7" x14ac:dyDescent="0.3">
      <c r="B50" s="231"/>
      <c r="C50" s="214"/>
      <c r="D50" s="2" t="s">
        <v>173</v>
      </c>
      <c r="E50" s="2"/>
      <c r="F50" s="2" t="s">
        <v>146</v>
      </c>
      <c r="G50" s="145">
        <v>6670000</v>
      </c>
    </row>
    <row r="51" spans="2:7" x14ac:dyDescent="0.3">
      <c r="B51" s="231"/>
      <c r="C51" s="214"/>
      <c r="D51" s="2" t="s">
        <v>174</v>
      </c>
      <c r="E51" s="2"/>
      <c r="F51" s="2" t="s">
        <v>147</v>
      </c>
      <c r="G51" s="145">
        <v>7110000</v>
      </c>
    </row>
    <row r="52" spans="2:7" x14ac:dyDescent="0.3">
      <c r="B52" s="231"/>
      <c r="C52" s="214"/>
      <c r="D52" s="2" t="s">
        <v>175</v>
      </c>
      <c r="E52" s="2"/>
      <c r="F52" s="2" t="s">
        <v>148</v>
      </c>
      <c r="G52" s="145">
        <v>6110000</v>
      </c>
    </row>
    <row r="53" spans="2:7" x14ac:dyDescent="0.3">
      <c r="B53" s="231"/>
      <c r="C53" s="214" t="s">
        <v>201</v>
      </c>
      <c r="D53" s="2"/>
      <c r="E53" s="2"/>
      <c r="F53" s="2" t="s">
        <v>149</v>
      </c>
      <c r="G53" s="145">
        <v>3000000</v>
      </c>
    </row>
    <row r="54" spans="2:7" x14ac:dyDescent="0.3">
      <c r="B54" s="231"/>
      <c r="C54" s="214"/>
      <c r="D54" s="2"/>
      <c r="E54" s="2"/>
      <c r="F54" s="2" t="s">
        <v>150</v>
      </c>
      <c r="G54" s="145">
        <v>4500000</v>
      </c>
    </row>
    <row r="55" spans="2:7" x14ac:dyDescent="0.3">
      <c r="B55" s="231"/>
      <c r="C55" s="214"/>
      <c r="D55" s="2" t="s">
        <v>176</v>
      </c>
      <c r="E55" s="2"/>
      <c r="F55" s="2" t="s">
        <v>151</v>
      </c>
      <c r="G55" s="145">
        <v>3200000</v>
      </c>
    </row>
    <row r="56" spans="2:7" x14ac:dyDescent="0.3">
      <c r="B56" s="231"/>
      <c r="C56" s="214"/>
      <c r="D56" s="2" t="s">
        <v>177</v>
      </c>
      <c r="E56" s="2"/>
      <c r="F56" s="2" t="s">
        <v>152</v>
      </c>
      <c r="G56" s="145">
        <v>2700000</v>
      </c>
    </row>
    <row r="57" spans="2:7" x14ac:dyDescent="0.3">
      <c r="B57" s="231"/>
      <c r="C57" s="214"/>
      <c r="D57" s="2" t="s">
        <v>178</v>
      </c>
      <c r="E57" s="2"/>
      <c r="F57" s="2" t="s">
        <v>153</v>
      </c>
      <c r="G57" s="145">
        <v>3300000</v>
      </c>
    </row>
    <row r="58" spans="2:7" x14ac:dyDescent="0.3">
      <c r="B58" s="231"/>
      <c r="C58" s="214"/>
      <c r="D58" s="2" t="s">
        <v>179</v>
      </c>
      <c r="E58" s="2"/>
      <c r="F58" s="2" t="s">
        <v>154</v>
      </c>
      <c r="G58" s="145">
        <v>3200000</v>
      </c>
    </row>
    <row r="59" spans="2:7" x14ac:dyDescent="0.3">
      <c r="B59" s="231"/>
      <c r="C59" s="214"/>
      <c r="D59" s="2" t="s">
        <v>180</v>
      </c>
      <c r="E59" s="2"/>
      <c r="F59" s="2" t="s">
        <v>155</v>
      </c>
      <c r="G59" s="145">
        <v>4500000</v>
      </c>
    </row>
    <row r="60" spans="2:7" x14ac:dyDescent="0.3">
      <c r="B60" s="231"/>
      <c r="C60" s="214"/>
      <c r="D60" s="2" t="s">
        <v>181</v>
      </c>
      <c r="E60" s="2"/>
      <c r="F60" s="2" t="s">
        <v>470</v>
      </c>
      <c r="G60" s="145">
        <v>3440000</v>
      </c>
    </row>
    <row r="61" spans="2:7" x14ac:dyDescent="0.3">
      <c r="B61" s="231"/>
      <c r="C61" s="214"/>
      <c r="D61" s="2" t="s">
        <v>182</v>
      </c>
      <c r="E61" s="2"/>
      <c r="F61" s="2" t="s">
        <v>471</v>
      </c>
      <c r="G61" s="145">
        <v>4440000</v>
      </c>
    </row>
    <row r="62" spans="2:7" x14ac:dyDescent="0.3">
      <c r="B62" s="231"/>
      <c r="C62" s="214"/>
      <c r="D62" s="2" t="s">
        <v>183</v>
      </c>
      <c r="E62" s="2"/>
      <c r="F62" s="2" t="s">
        <v>472</v>
      </c>
      <c r="G62" s="145">
        <v>5330000</v>
      </c>
    </row>
    <row r="63" spans="2:7" x14ac:dyDescent="0.3">
      <c r="B63" s="231"/>
      <c r="C63" s="214" t="s">
        <v>202</v>
      </c>
      <c r="D63" s="2" t="s">
        <v>184</v>
      </c>
      <c r="E63" s="2"/>
      <c r="F63" s="2" t="s">
        <v>43</v>
      </c>
      <c r="G63" s="145">
        <v>2400000</v>
      </c>
    </row>
    <row r="64" spans="2:7" x14ac:dyDescent="0.3">
      <c r="B64" s="231"/>
      <c r="C64" s="214"/>
      <c r="D64" s="2" t="s">
        <v>185</v>
      </c>
      <c r="E64" s="2"/>
      <c r="F64" s="2" t="s">
        <v>42</v>
      </c>
      <c r="G64" s="145">
        <v>4600000</v>
      </c>
    </row>
    <row r="65" spans="2:7" x14ac:dyDescent="0.3">
      <c r="B65" s="231"/>
      <c r="C65" s="214"/>
      <c r="D65" s="2" t="s">
        <v>186</v>
      </c>
      <c r="E65" s="2"/>
      <c r="F65" s="2" t="s">
        <v>41</v>
      </c>
      <c r="G65" s="145">
        <v>8300000</v>
      </c>
    </row>
    <row r="66" spans="2:7" ht="17.25" thickBot="1" x14ac:dyDescent="0.35">
      <c r="B66" s="232"/>
      <c r="C66" s="215"/>
      <c r="D66" s="3" t="s">
        <v>187</v>
      </c>
      <c r="E66" s="3"/>
      <c r="F66" s="3" t="s">
        <v>477</v>
      </c>
      <c r="G66" s="147">
        <v>15560000</v>
      </c>
    </row>
    <row r="67" spans="2:7" x14ac:dyDescent="0.3">
      <c r="B67" s="231" t="s">
        <v>203</v>
      </c>
      <c r="C67" s="230" t="s">
        <v>196</v>
      </c>
      <c r="D67" s="115" t="s">
        <v>188</v>
      </c>
      <c r="E67" s="115"/>
      <c r="F67" s="115" t="s">
        <v>348</v>
      </c>
      <c r="G67" s="144">
        <v>2000000</v>
      </c>
    </row>
    <row r="68" spans="2:7" x14ac:dyDescent="0.3">
      <c r="B68" s="231"/>
      <c r="C68" s="214"/>
      <c r="D68" s="2" t="s">
        <v>189</v>
      </c>
      <c r="E68" s="2"/>
      <c r="F68" s="2" t="s">
        <v>349</v>
      </c>
      <c r="G68" s="145">
        <v>5000000</v>
      </c>
    </row>
    <row r="69" spans="2:7" x14ac:dyDescent="0.3">
      <c r="B69" s="231"/>
      <c r="C69" s="214"/>
      <c r="D69" s="2" t="s">
        <v>190</v>
      </c>
      <c r="E69" s="2"/>
      <c r="F69" s="2" t="s">
        <v>350</v>
      </c>
      <c r="G69" s="145">
        <v>5500000</v>
      </c>
    </row>
    <row r="70" spans="2:7" x14ac:dyDescent="0.3">
      <c r="B70" s="231"/>
      <c r="C70" s="214"/>
      <c r="D70" s="2" t="s">
        <v>191</v>
      </c>
      <c r="E70" s="2"/>
      <c r="F70" s="2" t="s">
        <v>44</v>
      </c>
      <c r="G70" s="145">
        <v>7500000</v>
      </c>
    </row>
    <row r="71" spans="2:7" x14ac:dyDescent="0.3">
      <c r="B71" s="231"/>
      <c r="C71" s="214"/>
      <c r="D71" s="2" t="s">
        <v>192</v>
      </c>
      <c r="E71" s="2"/>
      <c r="F71" s="2" t="s">
        <v>45</v>
      </c>
      <c r="G71" s="145">
        <v>10000000</v>
      </c>
    </row>
    <row r="72" spans="2:7" x14ac:dyDescent="0.3">
      <c r="B72" s="231"/>
      <c r="C72" s="214" t="s">
        <v>197</v>
      </c>
      <c r="D72" s="2" t="s">
        <v>193</v>
      </c>
      <c r="E72" s="2"/>
      <c r="F72" s="2" t="s">
        <v>346</v>
      </c>
      <c r="G72" s="145">
        <v>11500000</v>
      </c>
    </row>
    <row r="73" spans="2:7" x14ac:dyDescent="0.3">
      <c r="B73" s="231"/>
      <c r="C73" s="214"/>
      <c r="D73" s="2" t="s">
        <v>194</v>
      </c>
      <c r="E73" s="2"/>
      <c r="F73" s="2" t="s">
        <v>347</v>
      </c>
      <c r="G73" s="145">
        <v>13000000</v>
      </c>
    </row>
    <row r="74" spans="2:7" x14ac:dyDescent="0.3">
      <c r="B74" s="231"/>
      <c r="C74" s="214"/>
      <c r="D74" s="2" t="s">
        <v>446</v>
      </c>
      <c r="E74" s="2"/>
      <c r="F74" s="2" t="s">
        <v>444</v>
      </c>
      <c r="G74" s="145">
        <v>18500000</v>
      </c>
    </row>
    <row r="75" spans="2:7" x14ac:dyDescent="0.3">
      <c r="B75" s="231"/>
      <c r="C75" s="214"/>
      <c r="D75" s="2" t="s">
        <v>447</v>
      </c>
      <c r="E75" s="2"/>
      <c r="F75" s="2" t="s">
        <v>445</v>
      </c>
      <c r="G75" s="145">
        <v>20000000</v>
      </c>
    </row>
    <row r="76" spans="2:7" x14ac:dyDescent="0.3">
      <c r="B76" s="231"/>
      <c r="C76" s="214" t="s">
        <v>205</v>
      </c>
      <c r="D76" s="2" t="s">
        <v>206</v>
      </c>
      <c r="E76" s="2"/>
      <c r="F76" s="2" t="s">
        <v>46</v>
      </c>
      <c r="G76" s="145">
        <v>9375000</v>
      </c>
    </row>
    <row r="77" spans="2:7" x14ac:dyDescent="0.3">
      <c r="B77" s="231"/>
      <c r="C77" s="214"/>
      <c r="D77" s="2" t="s">
        <v>207</v>
      </c>
      <c r="E77" s="2"/>
      <c r="F77" s="2" t="s">
        <v>47</v>
      </c>
      <c r="G77" s="145">
        <v>10625000</v>
      </c>
    </row>
    <row r="78" spans="2:7" ht="17.25" thickBot="1" x14ac:dyDescent="0.35">
      <c r="B78" s="232"/>
      <c r="C78" s="215"/>
      <c r="D78" s="3" t="s">
        <v>208</v>
      </c>
      <c r="E78" s="3"/>
      <c r="F78" s="3" t="s">
        <v>48</v>
      </c>
      <c r="G78" s="147">
        <v>375000</v>
      </c>
    </row>
    <row r="79" spans="2:7" x14ac:dyDescent="0.3">
      <c r="B79" s="229" t="s">
        <v>195</v>
      </c>
      <c r="C79" s="230" t="s">
        <v>343</v>
      </c>
      <c r="D79" s="115" t="s">
        <v>218</v>
      </c>
      <c r="E79" s="115"/>
      <c r="F79" s="115" t="s">
        <v>49</v>
      </c>
      <c r="G79" s="144">
        <v>30000000</v>
      </c>
    </row>
    <row r="80" spans="2:7" x14ac:dyDescent="0.3">
      <c r="B80" s="231"/>
      <c r="C80" s="214"/>
      <c r="D80" s="2" t="s">
        <v>219</v>
      </c>
      <c r="E80" s="2"/>
      <c r="F80" s="2" t="s">
        <v>338</v>
      </c>
      <c r="G80" s="145">
        <v>30000000</v>
      </c>
    </row>
    <row r="81" spans="2:7" x14ac:dyDescent="0.3">
      <c r="B81" s="231"/>
      <c r="C81" s="216" t="s">
        <v>243</v>
      </c>
      <c r="D81" s="157" t="s">
        <v>220</v>
      </c>
      <c r="E81" s="157"/>
      <c r="F81" s="157" t="s">
        <v>50</v>
      </c>
      <c r="G81" s="158">
        <v>4500000</v>
      </c>
    </row>
    <row r="82" spans="2:7" x14ac:dyDescent="0.3">
      <c r="B82" s="231"/>
      <c r="C82" s="214"/>
      <c r="D82" s="2" t="s">
        <v>221</v>
      </c>
      <c r="E82" s="2"/>
      <c r="F82" s="2" t="s">
        <v>51</v>
      </c>
      <c r="G82" s="145">
        <v>5000000</v>
      </c>
    </row>
    <row r="83" spans="2:7" x14ac:dyDescent="0.3">
      <c r="B83" s="231"/>
      <c r="C83" s="214"/>
      <c r="D83" s="2" t="s">
        <v>222</v>
      </c>
      <c r="E83" s="2"/>
      <c r="F83" s="2" t="s">
        <v>52</v>
      </c>
      <c r="G83" s="145">
        <v>5500000</v>
      </c>
    </row>
    <row r="84" spans="2:7" x14ac:dyDescent="0.3">
      <c r="B84" s="231"/>
      <c r="C84" s="214"/>
      <c r="D84" s="2" t="s">
        <v>223</v>
      </c>
      <c r="E84" s="2"/>
      <c r="F84" s="2" t="s">
        <v>53</v>
      </c>
      <c r="G84" s="145">
        <v>6000000</v>
      </c>
    </row>
    <row r="85" spans="2:7" x14ac:dyDescent="0.3">
      <c r="B85" s="231"/>
      <c r="C85" s="214"/>
      <c r="D85" s="2" t="s">
        <v>224</v>
      </c>
      <c r="E85" s="2"/>
      <c r="F85" s="2" t="s">
        <v>54</v>
      </c>
      <c r="G85" s="145">
        <v>7500000</v>
      </c>
    </row>
    <row r="86" spans="2:7" x14ac:dyDescent="0.3">
      <c r="B86" s="231"/>
      <c r="C86" s="214"/>
      <c r="D86" s="2" t="s">
        <v>225</v>
      </c>
      <c r="E86" s="2"/>
      <c r="F86" s="2" t="s">
        <v>55</v>
      </c>
      <c r="G86" s="145">
        <v>9000000</v>
      </c>
    </row>
    <row r="87" spans="2:7" ht="33" x14ac:dyDescent="0.3">
      <c r="B87" s="231"/>
      <c r="C87" s="214"/>
      <c r="D87" s="2" t="s">
        <v>226</v>
      </c>
      <c r="E87" s="2"/>
      <c r="F87" s="148" t="s">
        <v>328</v>
      </c>
      <c r="G87" s="145">
        <v>2000000</v>
      </c>
    </row>
    <row r="88" spans="2:7" x14ac:dyDescent="0.3">
      <c r="B88" s="231"/>
      <c r="C88" s="214"/>
      <c r="D88" s="2" t="s">
        <v>227</v>
      </c>
      <c r="E88" s="2"/>
      <c r="F88" s="2" t="s">
        <v>56</v>
      </c>
      <c r="G88" s="145">
        <v>6000000</v>
      </c>
    </row>
    <row r="89" spans="2:7" x14ac:dyDescent="0.3">
      <c r="B89" s="231"/>
      <c r="C89" s="223"/>
      <c r="D89" s="159" t="s">
        <v>228</v>
      </c>
      <c r="E89" s="159"/>
      <c r="F89" s="159" t="s">
        <v>57</v>
      </c>
      <c r="G89" s="160">
        <v>2000000</v>
      </c>
    </row>
    <row r="90" spans="2:7" x14ac:dyDescent="0.3">
      <c r="B90" s="231"/>
      <c r="C90" s="216" t="s">
        <v>351</v>
      </c>
      <c r="D90" s="157" t="s">
        <v>352</v>
      </c>
      <c r="E90" s="157"/>
      <c r="F90" s="157" t="s">
        <v>358</v>
      </c>
      <c r="G90" s="158">
        <v>4500000</v>
      </c>
    </row>
    <row r="91" spans="2:7" x14ac:dyDescent="0.3">
      <c r="B91" s="231"/>
      <c r="C91" s="214"/>
      <c r="D91" s="2" t="s">
        <v>353</v>
      </c>
      <c r="E91" s="2"/>
      <c r="F91" s="2" t="s">
        <v>359</v>
      </c>
      <c r="G91" s="145">
        <v>5000000</v>
      </c>
    </row>
    <row r="92" spans="2:7" x14ac:dyDescent="0.3">
      <c r="B92" s="231"/>
      <c r="C92" s="214"/>
      <c r="D92" s="2" t="s">
        <v>354</v>
      </c>
      <c r="E92" s="2"/>
      <c r="F92" s="2" t="s">
        <v>360</v>
      </c>
      <c r="G92" s="145">
        <v>5500000</v>
      </c>
    </row>
    <row r="93" spans="2:7" x14ac:dyDescent="0.3">
      <c r="B93" s="231"/>
      <c r="C93" s="214"/>
      <c r="D93" s="2" t="s">
        <v>355</v>
      </c>
      <c r="E93" s="2"/>
      <c r="F93" s="2" t="s">
        <v>361</v>
      </c>
      <c r="G93" s="145">
        <v>6000000</v>
      </c>
    </row>
    <row r="94" spans="2:7" x14ac:dyDescent="0.3">
      <c r="B94" s="231"/>
      <c r="C94" s="214"/>
      <c r="D94" s="2" t="s">
        <v>356</v>
      </c>
      <c r="E94" s="2"/>
      <c r="F94" s="2" t="s">
        <v>362</v>
      </c>
      <c r="G94" s="145">
        <v>7500000</v>
      </c>
    </row>
    <row r="95" spans="2:7" x14ac:dyDescent="0.3">
      <c r="B95" s="231"/>
      <c r="C95" s="214"/>
      <c r="D95" s="2" t="s">
        <v>357</v>
      </c>
      <c r="E95" s="2"/>
      <c r="F95" s="2" t="s">
        <v>363</v>
      </c>
      <c r="G95" s="145">
        <v>9000000</v>
      </c>
    </row>
    <row r="96" spans="2:7" ht="33" x14ac:dyDescent="0.3">
      <c r="B96" s="231"/>
      <c r="C96" s="214"/>
      <c r="D96" s="2" t="s">
        <v>226</v>
      </c>
      <c r="E96" s="2"/>
      <c r="F96" s="148" t="s">
        <v>328</v>
      </c>
      <c r="G96" s="145">
        <v>2000000</v>
      </c>
    </row>
    <row r="97" spans="2:7" x14ac:dyDescent="0.3">
      <c r="B97" s="231"/>
      <c r="C97" s="214"/>
      <c r="D97" s="2" t="s">
        <v>366</v>
      </c>
      <c r="E97" s="2"/>
      <c r="F97" s="2" t="s">
        <v>364</v>
      </c>
      <c r="G97" s="145">
        <v>6000000</v>
      </c>
    </row>
    <row r="98" spans="2:7" x14ac:dyDescent="0.3">
      <c r="B98" s="231"/>
      <c r="C98" s="214"/>
      <c r="D98" s="2" t="s">
        <v>367</v>
      </c>
      <c r="E98" s="2"/>
      <c r="F98" s="2" t="s">
        <v>365</v>
      </c>
      <c r="G98" s="145">
        <v>2000000</v>
      </c>
    </row>
    <row r="99" spans="2:7" x14ac:dyDescent="0.3">
      <c r="B99" s="231"/>
      <c r="C99" s="216" t="s">
        <v>250</v>
      </c>
      <c r="D99" s="157" t="s">
        <v>229</v>
      </c>
      <c r="E99" s="157"/>
      <c r="F99" s="157" t="s">
        <v>342</v>
      </c>
      <c r="G99" s="158">
        <v>6000000</v>
      </c>
    </row>
    <row r="100" spans="2:7" x14ac:dyDescent="0.3">
      <c r="B100" s="231"/>
      <c r="C100" s="214"/>
      <c r="D100" s="2" t="s">
        <v>230</v>
      </c>
      <c r="E100" s="2"/>
      <c r="F100" s="2" t="s">
        <v>344</v>
      </c>
      <c r="G100" s="145">
        <v>8000000</v>
      </c>
    </row>
    <row r="101" spans="2:7" x14ac:dyDescent="0.3">
      <c r="B101" s="231"/>
      <c r="C101" s="214"/>
      <c r="D101" s="2" t="s">
        <v>231</v>
      </c>
      <c r="E101" s="2"/>
      <c r="F101" s="2" t="s">
        <v>345</v>
      </c>
      <c r="G101" s="145">
        <v>10000000</v>
      </c>
    </row>
    <row r="102" spans="2:7" x14ac:dyDescent="0.3">
      <c r="B102" s="231"/>
      <c r="C102" s="214"/>
      <c r="D102" s="2" t="s">
        <v>232</v>
      </c>
      <c r="E102" s="2"/>
      <c r="F102" s="2" t="s">
        <v>58</v>
      </c>
      <c r="G102" s="145">
        <v>12000000</v>
      </c>
    </row>
    <row r="103" spans="2:7" ht="33" x14ac:dyDescent="0.3">
      <c r="B103" s="231"/>
      <c r="C103" s="214"/>
      <c r="D103" s="2" t="s">
        <v>226</v>
      </c>
      <c r="E103" s="2"/>
      <c r="F103" s="148" t="s">
        <v>329</v>
      </c>
      <c r="G103" s="145">
        <v>2000000</v>
      </c>
    </row>
    <row r="104" spans="2:7" x14ac:dyDescent="0.3">
      <c r="B104" s="231"/>
      <c r="C104" s="214"/>
      <c r="D104" s="2" t="s">
        <v>233</v>
      </c>
      <c r="E104" s="2"/>
      <c r="F104" s="2" t="s">
        <v>59</v>
      </c>
      <c r="G104" s="145">
        <v>6000000</v>
      </c>
    </row>
    <row r="105" spans="2:7" ht="17.25" thickBot="1" x14ac:dyDescent="0.35">
      <c r="B105" s="231"/>
      <c r="C105" s="215"/>
      <c r="D105" s="3" t="s">
        <v>234</v>
      </c>
      <c r="E105" s="3"/>
      <c r="F105" s="3" t="s">
        <v>60</v>
      </c>
      <c r="G105" s="147">
        <v>2000000</v>
      </c>
    </row>
    <row r="106" spans="2:7" x14ac:dyDescent="0.3">
      <c r="B106" s="231"/>
      <c r="C106" s="163" t="s">
        <v>376</v>
      </c>
      <c r="D106" s="2" t="s">
        <v>375</v>
      </c>
      <c r="E106" s="2"/>
      <c r="F106" s="2" t="s">
        <v>380</v>
      </c>
      <c r="G106" s="145">
        <v>6000000</v>
      </c>
    </row>
    <row r="107" spans="2:7" x14ac:dyDescent="0.3">
      <c r="B107" s="231"/>
      <c r="C107" s="163" t="s">
        <v>377</v>
      </c>
      <c r="D107" s="2" t="s">
        <v>378</v>
      </c>
      <c r="E107" s="2"/>
      <c r="F107" s="2" t="s">
        <v>381</v>
      </c>
      <c r="G107" s="145">
        <v>8000000</v>
      </c>
    </row>
    <row r="108" spans="2:7" x14ac:dyDescent="0.3">
      <c r="B108" s="231"/>
      <c r="C108" s="163"/>
      <c r="D108" s="2" t="s">
        <v>226</v>
      </c>
      <c r="E108" s="2"/>
      <c r="F108" s="2" t="s">
        <v>379</v>
      </c>
      <c r="G108" s="145">
        <v>2000000</v>
      </c>
    </row>
    <row r="109" spans="2:7" x14ac:dyDescent="0.3">
      <c r="B109" s="231"/>
      <c r="C109" s="163"/>
      <c r="D109" s="2" t="s">
        <v>233</v>
      </c>
      <c r="E109" s="2"/>
      <c r="F109" s="2" t="s">
        <v>383</v>
      </c>
      <c r="G109" s="145">
        <v>6000000</v>
      </c>
    </row>
    <row r="110" spans="2:7" ht="17.25" thickBot="1" x14ac:dyDescent="0.35">
      <c r="B110" s="232"/>
      <c r="C110" s="163"/>
      <c r="D110" s="2" t="s">
        <v>234</v>
      </c>
      <c r="E110" s="2"/>
      <c r="F110" s="2" t="s">
        <v>382</v>
      </c>
      <c r="G110" s="145">
        <v>2000000</v>
      </c>
    </row>
    <row r="111" spans="2:7" x14ac:dyDescent="0.3">
      <c r="B111" s="229" t="s">
        <v>327</v>
      </c>
      <c r="C111" s="230"/>
      <c r="D111" s="115" t="s">
        <v>287</v>
      </c>
      <c r="E111" s="115"/>
      <c r="F111" s="115" t="s">
        <v>288</v>
      </c>
      <c r="G111" s="144">
        <v>47000000</v>
      </c>
    </row>
    <row r="112" spans="2:7" x14ac:dyDescent="0.3">
      <c r="B112" s="231"/>
      <c r="C112" s="214"/>
      <c r="D112" s="2" t="s">
        <v>289</v>
      </c>
      <c r="E112" s="2"/>
      <c r="F112" s="2" t="s">
        <v>290</v>
      </c>
      <c r="G112" s="145">
        <v>56000000</v>
      </c>
    </row>
    <row r="113" spans="2:7" x14ac:dyDescent="0.3">
      <c r="B113" s="231"/>
      <c r="C113" s="214"/>
      <c r="D113" s="2" t="s">
        <v>291</v>
      </c>
      <c r="E113" s="2"/>
      <c r="F113" s="2" t="s">
        <v>292</v>
      </c>
      <c r="G113" s="145">
        <v>66000000</v>
      </c>
    </row>
    <row r="114" spans="2:7" x14ac:dyDescent="0.3">
      <c r="B114" s="231"/>
      <c r="C114" s="214"/>
      <c r="D114" s="2" t="s">
        <v>293</v>
      </c>
      <c r="E114" s="2"/>
      <c r="F114" s="2" t="s">
        <v>294</v>
      </c>
      <c r="G114" s="145">
        <v>74000000</v>
      </c>
    </row>
    <row r="115" spans="2:7" x14ac:dyDescent="0.3">
      <c r="B115" s="231"/>
      <c r="C115" s="214"/>
      <c r="D115" s="2" t="s">
        <v>295</v>
      </c>
      <c r="E115" s="2"/>
      <c r="F115" s="2" t="s">
        <v>296</v>
      </c>
      <c r="G115" s="145">
        <v>89000000</v>
      </c>
    </row>
    <row r="116" spans="2:7" ht="17.25" thickBot="1" x14ac:dyDescent="0.35">
      <c r="B116" s="232"/>
      <c r="C116" s="215"/>
      <c r="D116" s="3" t="s">
        <v>297</v>
      </c>
      <c r="E116" s="3"/>
      <c r="F116" s="3" t="s">
        <v>298</v>
      </c>
      <c r="G116" s="147">
        <v>104000000</v>
      </c>
    </row>
  </sheetData>
  <mergeCells count="30">
    <mergeCell ref="B13:B24"/>
    <mergeCell ref="B3:B12"/>
    <mergeCell ref="E11:E12"/>
    <mergeCell ref="B25:B28"/>
    <mergeCell ref="B111:C116"/>
    <mergeCell ref="B67:B78"/>
    <mergeCell ref="C76:C78"/>
    <mergeCell ref="B29:B31"/>
    <mergeCell ref="C67:C71"/>
    <mergeCell ref="B32:B66"/>
    <mergeCell ref="C32:C42"/>
    <mergeCell ref="C43:C52"/>
    <mergeCell ref="C53:C62"/>
    <mergeCell ref="C79:C80"/>
    <mergeCell ref="B79:B110"/>
    <mergeCell ref="C13:C18"/>
    <mergeCell ref="I3:K3"/>
    <mergeCell ref="K32:K34"/>
    <mergeCell ref="C63:C66"/>
    <mergeCell ref="C99:C105"/>
    <mergeCell ref="I11:K11"/>
    <mergeCell ref="I25:J25"/>
    <mergeCell ref="I36:J36"/>
    <mergeCell ref="K26:K28"/>
    <mergeCell ref="K29:K31"/>
    <mergeCell ref="C81:C89"/>
    <mergeCell ref="C90:C98"/>
    <mergeCell ref="C19:C21"/>
    <mergeCell ref="C22:C24"/>
    <mergeCell ref="C72:C75"/>
  </mergeCells>
  <phoneticPr fontId="2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38"/>
  <sheetViews>
    <sheetView workbookViewId="0">
      <selection activeCell="F23" sqref="F23"/>
    </sheetView>
  </sheetViews>
  <sheetFormatPr defaultRowHeight="16.5" x14ac:dyDescent="0.3"/>
  <cols>
    <col min="2" max="2" width="8.75" bestFit="1" customWidth="1"/>
    <col min="3" max="3" width="13.625" bestFit="1" customWidth="1"/>
    <col min="4" max="4" width="15.625" bestFit="1" customWidth="1"/>
    <col min="5" max="5" width="9.25" bestFit="1" customWidth="1"/>
    <col min="6" max="6" width="83.5" bestFit="1" customWidth="1"/>
    <col min="7" max="7" width="12.875" bestFit="1" customWidth="1"/>
    <col min="9" max="9" width="13" bestFit="1" customWidth="1"/>
    <col min="10" max="10" width="14.375" bestFit="1" customWidth="1"/>
    <col min="11" max="11" width="20.375" bestFit="1" customWidth="1"/>
    <col min="12" max="12" width="9.25" bestFit="1" customWidth="1"/>
  </cols>
  <sheetData>
    <row r="1" spans="2:12" ht="17.25" thickBot="1" x14ac:dyDescent="0.35"/>
    <row r="2" spans="2:12" ht="17.25" thickBot="1" x14ac:dyDescent="0.35">
      <c r="B2" s="197" t="s">
        <v>117</v>
      </c>
      <c r="C2" s="142" t="s">
        <v>118</v>
      </c>
      <c r="D2" s="142" t="s">
        <v>116</v>
      </c>
      <c r="E2" s="142"/>
      <c r="F2" s="142" t="s">
        <v>119</v>
      </c>
      <c r="G2" s="198" t="s">
        <v>115</v>
      </c>
      <c r="I2" s="327" t="s">
        <v>2</v>
      </c>
      <c r="J2" s="328"/>
      <c r="K2" s="328"/>
      <c r="L2" s="329"/>
    </row>
    <row r="3" spans="2:12" ht="16.5" customHeight="1" x14ac:dyDescent="0.3">
      <c r="B3" s="226" t="s">
        <v>482</v>
      </c>
      <c r="C3" s="196" t="s">
        <v>483</v>
      </c>
      <c r="D3" s="115" t="s">
        <v>1</v>
      </c>
      <c r="E3" s="115"/>
      <c r="F3" s="115" t="s">
        <v>211</v>
      </c>
      <c r="G3" s="144">
        <v>40000000</v>
      </c>
      <c r="I3" s="7" t="s">
        <v>4</v>
      </c>
      <c r="J3" s="8" t="s">
        <v>5</v>
      </c>
      <c r="K3" s="133" t="s">
        <v>6</v>
      </c>
      <c r="L3" s="9" t="s">
        <v>309</v>
      </c>
    </row>
    <row r="4" spans="2:12" x14ac:dyDescent="0.3">
      <c r="B4" s="227"/>
      <c r="C4" s="194"/>
      <c r="D4" s="2" t="s">
        <v>3</v>
      </c>
      <c r="E4" s="2"/>
      <c r="F4" s="2" t="s">
        <v>212</v>
      </c>
      <c r="G4" s="145">
        <v>36000000</v>
      </c>
      <c r="I4" s="10" t="s">
        <v>454</v>
      </c>
      <c r="J4" s="12" t="s">
        <v>8</v>
      </c>
      <c r="K4" s="134" t="s">
        <v>9</v>
      </c>
      <c r="L4" s="136">
        <v>5371</v>
      </c>
    </row>
    <row r="5" spans="2:12" x14ac:dyDescent="0.3">
      <c r="B5" s="227"/>
      <c r="C5" s="194" t="s">
        <v>325</v>
      </c>
      <c r="D5" s="2" t="s">
        <v>7</v>
      </c>
      <c r="E5" s="2"/>
      <c r="F5" s="2" t="s">
        <v>213</v>
      </c>
      <c r="G5" s="145">
        <v>50000000</v>
      </c>
      <c r="I5" s="10" t="s">
        <v>455</v>
      </c>
      <c r="J5" s="12" t="s">
        <v>235</v>
      </c>
      <c r="K5" s="134" t="s">
        <v>11</v>
      </c>
      <c r="L5" s="136">
        <v>8158</v>
      </c>
    </row>
    <row r="6" spans="2:12" x14ac:dyDescent="0.3">
      <c r="B6" s="227"/>
      <c r="C6" s="194"/>
      <c r="D6" s="2" t="s">
        <v>10</v>
      </c>
      <c r="E6" s="2"/>
      <c r="F6" s="2" t="s">
        <v>214</v>
      </c>
      <c r="G6" s="145">
        <v>43000000</v>
      </c>
      <c r="I6" s="10" t="s">
        <v>456</v>
      </c>
      <c r="J6" s="12" t="s">
        <v>236</v>
      </c>
      <c r="K6" s="134" t="s">
        <v>14</v>
      </c>
      <c r="L6" s="136">
        <v>5302</v>
      </c>
    </row>
    <row r="7" spans="2:12" x14ac:dyDescent="0.3">
      <c r="B7" s="227"/>
      <c r="C7" s="194" t="s">
        <v>326</v>
      </c>
      <c r="D7" s="2" t="s">
        <v>12</v>
      </c>
      <c r="E7" s="2"/>
      <c r="F7" s="2" t="s">
        <v>13</v>
      </c>
      <c r="G7" s="145">
        <v>60000000</v>
      </c>
      <c r="I7" s="10" t="s">
        <v>457</v>
      </c>
      <c r="J7" s="12" t="s">
        <v>17</v>
      </c>
      <c r="K7" s="134" t="s">
        <v>18</v>
      </c>
      <c r="L7" s="136">
        <v>5301</v>
      </c>
    </row>
    <row r="8" spans="2:12" ht="17.25" thickBot="1" x14ac:dyDescent="0.35">
      <c r="B8" s="227"/>
      <c r="C8" s="194" t="s">
        <v>326</v>
      </c>
      <c r="D8" s="2" t="s">
        <v>15</v>
      </c>
      <c r="E8" s="2"/>
      <c r="F8" s="2" t="s">
        <v>16</v>
      </c>
      <c r="G8" s="145">
        <v>65000000</v>
      </c>
      <c r="I8" s="11" t="s">
        <v>458</v>
      </c>
      <c r="J8" s="13" t="s">
        <v>237</v>
      </c>
      <c r="K8" s="135" t="s">
        <v>21</v>
      </c>
      <c r="L8" s="137">
        <v>5374</v>
      </c>
    </row>
    <row r="9" spans="2:12" ht="17.25" thickBot="1" x14ac:dyDescent="0.35">
      <c r="B9" s="227"/>
      <c r="C9" s="194" t="s">
        <v>330</v>
      </c>
      <c r="D9" s="2" t="s">
        <v>19</v>
      </c>
      <c r="E9" s="2"/>
      <c r="F9" s="2" t="s">
        <v>20</v>
      </c>
      <c r="G9" s="145">
        <v>70000000</v>
      </c>
    </row>
    <row r="10" spans="2:12" ht="17.25" thickBot="1" x14ac:dyDescent="0.35">
      <c r="B10" s="227"/>
      <c r="C10" s="194" t="s">
        <v>330</v>
      </c>
      <c r="D10" s="2" t="s">
        <v>22</v>
      </c>
      <c r="E10" s="2"/>
      <c r="F10" s="2" t="s">
        <v>23</v>
      </c>
      <c r="G10" s="145">
        <v>85000000</v>
      </c>
      <c r="I10" s="217" t="s">
        <v>253</v>
      </c>
      <c r="J10" s="218"/>
      <c r="K10" s="219"/>
    </row>
    <row r="11" spans="2:12" x14ac:dyDescent="0.3">
      <c r="B11" s="227"/>
      <c r="C11" s="194"/>
      <c r="D11" s="2" t="s">
        <v>24</v>
      </c>
      <c r="E11" s="214" t="s">
        <v>25</v>
      </c>
      <c r="F11" s="2" t="s">
        <v>26</v>
      </c>
      <c r="G11" s="145">
        <v>90000000</v>
      </c>
      <c r="I11" s="119" t="s">
        <v>478</v>
      </c>
      <c r="J11" s="120" t="s">
        <v>244</v>
      </c>
      <c r="K11" s="121" t="s">
        <v>255</v>
      </c>
    </row>
    <row r="12" spans="2:12" ht="17.25" thickBot="1" x14ac:dyDescent="0.35">
      <c r="B12" s="228"/>
      <c r="C12" s="195"/>
      <c r="D12" s="3" t="s">
        <v>27</v>
      </c>
      <c r="E12" s="215"/>
      <c r="F12" s="3" t="s">
        <v>28</v>
      </c>
      <c r="G12" s="147">
        <v>93000000</v>
      </c>
      <c r="I12" s="122" t="s">
        <v>479</v>
      </c>
      <c r="J12" s="123" t="s">
        <v>245</v>
      </c>
      <c r="K12" s="124" t="s">
        <v>256</v>
      </c>
    </row>
    <row r="13" spans="2:12" x14ac:dyDescent="0.3">
      <c r="B13" s="226" t="s">
        <v>29</v>
      </c>
      <c r="C13" s="233" t="s">
        <v>400</v>
      </c>
      <c r="D13" s="115" t="s">
        <v>392</v>
      </c>
      <c r="E13" s="115" t="s">
        <v>414</v>
      </c>
      <c r="F13" s="115" t="s">
        <v>386</v>
      </c>
      <c r="G13" s="144">
        <v>85000000</v>
      </c>
      <c r="I13" s="122" t="s">
        <v>480</v>
      </c>
      <c r="J13" s="123" t="s">
        <v>246</v>
      </c>
      <c r="K13" s="124" t="s">
        <v>247</v>
      </c>
    </row>
    <row r="14" spans="2:12" x14ac:dyDescent="0.3">
      <c r="B14" s="227"/>
      <c r="C14" s="224"/>
      <c r="D14" s="2" t="s">
        <v>393</v>
      </c>
      <c r="E14" s="2" t="s">
        <v>415</v>
      </c>
      <c r="F14" s="2" t="s">
        <v>387</v>
      </c>
      <c r="G14" s="145">
        <v>93000000</v>
      </c>
      <c r="I14" s="122" t="s">
        <v>481</v>
      </c>
      <c r="J14" s="123" t="s">
        <v>251</v>
      </c>
      <c r="K14" s="124" t="s">
        <v>257</v>
      </c>
    </row>
    <row r="15" spans="2:12" x14ac:dyDescent="0.3">
      <c r="B15" s="227"/>
      <c r="C15" s="224"/>
      <c r="D15" s="2" t="s">
        <v>394</v>
      </c>
      <c r="E15" s="2" t="s">
        <v>416</v>
      </c>
      <c r="F15" s="2" t="s">
        <v>388</v>
      </c>
      <c r="G15" s="145">
        <v>100000000</v>
      </c>
      <c r="I15" s="122" t="s">
        <v>248</v>
      </c>
      <c r="J15" s="123" t="s">
        <v>249</v>
      </c>
      <c r="K15" s="124" t="s">
        <v>258</v>
      </c>
    </row>
    <row r="16" spans="2:12" ht="17.25" thickBot="1" x14ac:dyDescent="0.35">
      <c r="B16" s="227"/>
      <c r="C16" s="224"/>
      <c r="D16" s="2" t="s">
        <v>395</v>
      </c>
      <c r="E16" s="166" t="s">
        <v>417</v>
      </c>
      <c r="F16" s="2" t="s">
        <v>389</v>
      </c>
      <c r="G16" s="145">
        <v>150000000</v>
      </c>
      <c r="I16" s="125" t="s">
        <v>254</v>
      </c>
      <c r="J16" s="126" t="s">
        <v>252</v>
      </c>
      <c r="K16" s="127" t="s">
        <v>335</v>
      </c>
    </row>
    <row r="17" spans="2:11" x14ac:dyDescent="0.3">
      <c r="B17" s="227"/>
      <c r="C17" s="224"/>
      <c r="D17" s="2" t="s">
        <v>396</v>
      </c>
      <c r="E17" s="2"/>
      <c r="F17" s="2" t="s">
        <v>390</v>
      </c>
      <c r="G17" s="145">
        <v>157000000</v>
      </c>
    </row>
    <row r="18" spans="2:11" x14ac:dyDescent="0.3">
      <c r="B18" s="227"/>
      <c r="C18" s="234"/>
      <c r="D18" s="159" t="s">
        <v>397</v>
      </c>
      <c r="E18" s="159"/>
      <c r="F18" s="159" t="s">
        <v>391</v>
      </c>
      <c r="G18" s="160">
        <v>240000000</v>
      </c>
    </row>
    <row r="19" spans="2:11" x14ac:dyDescent="0.3">
      <c r="B19" s="227"/>
      <c r="C19" s="224" t="s">
        <v>401</v>
      </c>
      <c r="D19" s="2" t="s">
        <v>393</v>
      </c>
      <c r="E19" s="2"/>
      <c r="F19" s="2" t="s">
        <v>30</v>
      </c>
      <c r="G19" s="145">
        <v>190000000</v>
      </c>
    </row>
    <row r="20" spans="2:11" x14ac:dyDescent="0.3">
      <c r="B20" s="227"/>
      <c r="C20" s="224"/>
      <c r="D20" s="2" t="s">
        <v>395</v>
      </c>
      <c r="E20" s="2"/>
      <c r="F20" s="2" t="s">
        <v>31</v>
      </c>
      <c r="G20" s="145">
        <v>260000000</v>
      </c>
      <c r="I20" s="91"/>
    </row>
    <row r="21" spans="2:11" x14ac:dyDescent="0.3">
      <c r="B21" s="227"/>
      <c r="C21" s="224"/>
      <c r="D21" s="2" t="s">
        <v>397</v>
      </c>
      <c r="E21" s="2"/>
      <c r="F21" s="2" t="s">
        <v>32</v>
      </c>
      <c r="G21" s="145">
        <v>540000000</v>
      </c>
    </row>
    <row r="22" spans="2:11" x14ac:dyDescent="0.3">
      <c r="B22" s="227"/>
      <c r="C22" s="224" t="s">
        <v>402</v>
      </c>
      <c r="D22" s="166" t="s">
        <v>403</v>
      </c>
      <c r="E22" s="2"/>
      <c r="F22" s="166" t="s">
        <v>407</v>
      </c>
      <c r="G22" s="145">
        <v>15000000</v>
      </c>
    </row>
    <row r="23" spans="2:11" x14ac:dyDescent="0.3">
      <c r="B23" s="227"/>
      <c r="C23" s="224"/>
      <c r="D23" s="166" t="s">
        <v>404</v>
      </c>
      <c r="E23" s="2"/>
      <c r="F23" s="166" t="s">
        <v>408</v>
      </c>
      <c r="G23" s="145">
        <v>25000000</v>
      </c>
    </row>
    <row r="24" spans="2:11" ht="17.25" thickBot="1" x14ac:dyDescent="0.35">
      <c r="B24" s="228"/>
      <c r="C24" s="225"/>
      <c r="D24" s="208" t="s">
        <v>405</v>
      </c>
      <c r="E24" s="3"/>
      <c r="F24" s="208" t="s">
        <v>418</v>
      </c>
      <c r="G24" s="147"/>
    </row>
    <row r="25" spans="2:11" ht="17.25" thickBot="1" x14ac:dyDescent="0.35">
      <c r="B25" s="226" t="s">
        <v>33</v>
      </c>
      <c r="C25" s="115"/>
      <c r="D25" s="115" t="s">
        <v>34</v>
      </c>
      <c r="E25" s="115"/>
      <c r="F25" s="115" t="s">
        <v>35</v>
      </c>
      <c r="G25" s="144">
        <v>175000000</v>
      </c>
      <c r="I25" s="220" t="s">
        <v>324</v>
      </c>
      <c r="J25" s="221"/>
    </row>
    <row r="26" spans="2:11" x14ac:dyDescent="0.3">
      <c r="B26" s="227"/>
      <c r="C26" s="2"/>
      <c r="D26" s="2" t="s">
        <v>36</v>
      </c>
      <c r="E26" s="2"/>
      <c r="F26" s="2" t="s">
        <v>37</v>
      </c>
      <c r="G26" s="145">
        <v>205000000</v>
      </c>
      <c r="I26" s="199" t="s">
        <v>310</v>
      </c>
      <c r="J26" s="118" t="s">
        <v>312</v>
      </c>
      <c r="K26" s="222" t="s">
        <v>120</v>
      </c>
    </row>
    <row r="27" spans="2:11" x14ac:dyDescent="0.3">
      <c r="B27" s="227"/>
      <c r="C27" s="2"/>
      <c r="D27" s="2" t="s">
        <v>38</v>
      </c>
      <c r="E27" s="2"/>
      <c r="F27" s="2" t="s">
        <v>39</v>
      </c>
      <c r="G27" s="145">
        <v>185000000</v>
      </c>
      <c r="I27" s="200" t="s">
        <v>305</v>
      </c>
      <c r="J27" s="6" t="s">
        <v>313</v>
      </c>
      <c r="K27" s="212"/>
    </row>
    <row r="28" spans="2:11" ht="17.25" thickBot="1" x14ac:dyDescent="0.35">
      <c r="B28" s="228"/>
      <c r="C28" s="3"/>
      <c r="D28" s="3" t="s">
        <v>40</v>
      </c>
      <c r="E28" s="3"/>
      <c r="F28" s="3" t="s">
        <v>336</v>
      </c>
      <c r="G28" s="147">
        <v>215000000</v>
      </c>
      <c r="I28" s="201" t="s">
        <v>307</v>
      </c>
      <c r="J28" s="140" t="s">
        <v>316</v>
      </c>
      <c r="K28" s="213"/>
    </row>
    <row r="29" spans="2:11" x14ac:dyDescent="0.3">
      <c r="B29" s="229" t="s">
        <v>327</v>
      </c>
      <c r="C29" s="230"/>
      <c r="D29" s="115" t="s">
        <v>287</v>
      </c>
      <c r="E29" s="115"/>
      <c r="F29" s="115" t="s">
        <v>288</v>
      </c>
      <c r="G29" s="144">
        <v>47000000</v>
      </c>
      <c r="I29" s="199" t="s">
        <v>311</v>
      </c>
      <c r="J29" s="118" t="s">
        <v>314</v>
      </c>
      <c r="K29" s="222" t="s">
        <v>325</v>
      </c>
    </row>
    <row r="30" spans="2:11" x14ac:dyDescent="0.3">
      <c r="B30" s="231"/>
      <c r="C30" s="214"/>
      <c r="D30" s="2" t="s">
        <v>289</v>
      </c>
      <c r="E30" s="2"/>
      <c r="F30" s="2" t="s">
        <v>290</v>
      </c>
      <c r="G30" s="145">
        <v>56000000</v>
      </c>
      <c r="I30" s="200" t="s">
        <v>306</v>
      </c>
      <c r="J30" s="6" t="s">
        <v>315</v>
      </c>
      <c r="K30" s="212"/>
    </row>
    <row r="31" spans="2:11" ht="17.25" thickBot="1" x14ac:dyDescent="0.35">
      <c r="B31" s="231"/>
      <c r="C31" s="214"/>
      <c r="D31" s="2" t="s">
        <v>291</v>
      </c>
      <c r="E31" s="2"/>
      <c r="F31" s="2" t="s">
        <v>292</v>
      </c>
      <c r="G31" s="145">
        <v>66000000</v>
      </c>
      <c r="I31" s="201" t="s">
        <v>308</v>
      </c>
      <c r="J31" s="140" t="s">
        <v>317</v>
      </c>
      <c r="K31" s="213"/>
    </row>
    <row r="32" spans="2:11" x14ac:dyDescent="0.3">
      <c r="B32" s="231"/>
      <c r="C32" s="214"/>
      <c r="D32" s="2" t="s">
        <v>293</v>
      </c>
      <c r="E32" s="2"/>
      <c r="F32" s="2" t="s">
        <v>294</v>
      </c>
      <c r="G32" s="145">
        <v>74000000</v>
      </c>
      <c r="I32" s="199" t="s">
        <v>318</v>
      </c>
      <c r="J32" s="118" t="s">
        <v>319</v>
      </c>
      <c r="K32" s="212" t="s">
        <v>326</v>
      </c>
    </row>
    <row r="33" spans="2:11" x14ac:dyDescent="0.3">
      <c r="B33" s="231"/>
      <c r="C33" s="214"/>
      <c r="D33" s="2" t="s">
        <v>295</v>
      </c>
      <c r="E33" s="2"/>
      <c r="F33" s="2" t="s">
        <v>296</v>
      </c>
      <c r="G33" s="145">
        <v>89000000</v>
      </c>
      <c r="I33" s="200" t="s">
        <v>321</v>
      </c>
      <c r="J33" s="6" t="s">
        <v>320</v>
      </c>
      <c r="K33" s="212"/>
    </row>
    <row r="34" spans="2:11" ht="17.25" thickBot="1" x14ac:dyDescent="0.35">
      <c r="B34" s="232"/>
      <c r="C34" s="215"/>
      <c r="D34" s="3" t="s">
        <v>297</v>
      </c>
      <c r="E34" s="3"/>
      <c r="F34" s="3" t="s">
        <v>298</v>
      </c>
      <c r="G34" s="147">
        <v>104000000</v>
      </c>
      <c r="I34" s="201" t="s">
        <v>322</v>
      </c>
      <c r="J34" s="140" t="s">
        <v>323</v>
      </c>
      <c r="K34" s="213"/>
    </row>
    <row r="35" spans="2:11" ht="17.25" thickBot="1" x14ac:dyDescent="0.35"/>
    <row r="36" spans="2:11" ht="17.25" thickBot="1" x14ac:dyDescent="0.35">
      <c r="I36" s="220" t="s">
        <v>259</v>
      </c>
      <c r="J36" s="221"/>
    </row>
    <row r="37" spans="2:11" x14ac:dyDescent="0.3">
      <c r="I37" s="114" t="s">
        <v>264</v>
      </c>
      <c r="J37" s="128" t="s">
        <v>399</v>
      </c>
    </row>
    <row r="38" spans="2:11" ht="17.25" thickBot="1" x14ac:dyDescent="0.35">
      <c r="I38" s="116" t="s">
        <v>265</v>
      </c>
      <c r="J38" s="129" t="s">
        <v>398</v>
      </c>
    </row>
  </sheetData>
  <mergeCells count="15">
    <mergeCell ref="B29:C34"/>
    <mergeCell ref="B25:B28"/>
    <mergeCell ref="B3:B12"/>
    <mergeCell ref="E11:E12"/>
    <mergeCell ref="B13:B24"/>
    <mergeCell ref="C13:C18"/>
    <mergeCell ref="C19:C21"/>
    <mergeCell ref="C22:C24"/>
    <mergeCell ref="I36:J36"/>
    <mergeCell ref="I2:L2"/>
    <mergeCell ref="I10:K10"/>
    <mergeCell ref="I25:J25"/>
    <mergeCell ref="K26:K28"/>
    <mergeCell ref="K29:K31"/>
    <mergeCell ref="K32:K34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1"/>
  <sheetViews>
    <sheetView workbookViewId="0">
      <selection activeCell="P10" sqref="P10"/>
    </sheetView>
  </sheetViews>
  <sheetFormatPr defaultColWidth="9" defaultRowHeight="16.5" x14ac:dyDescent="0.3"/>
  <cols>
    <col min="1" max="1" width="7.125" style="17" customWidth="1"/>
    <col min="2" max="2" width="3.625" style="17" customWidth="1"/>
    <col min="3" max="3" width="6.625" style="17" customWidth="1"/>
    <col min="4" max="4" width="12.375" style="17" customWidth="1"/>
    <col min="5" max="5" width="17.125" style="17" customWidth="1"/>
    <col min="6" max="6" width="3.625" style="17" customWidth="1"/>
    <col min="7" max="8" width="9.625" style="17" customWidth="1"/>
    <col min="9" max="9" width="10.125" style="17" customWidth="1"/>
    <col min="10" max="10" width="4.625" style="16" customWidth="1"/>
    <col min="11" max="11" width="10.625" style="16" customWidth="1"/>
    <col min="12" max="12" width="36.875" style="16" customWidth="1"/>
    <col min="13" max="13" width="9.125" style="16" customWidth="1"/>
    <col min="14" max="14" width="16.625" style="16" customWidth="1"/>
    <col min="15" max="15" width="13.625" style="16" customWidth="1"/>
    <col min="16" max="16" width="13.5" style="17" bestFit="1" customWidth="1"/>
    <col min="17" max="17" width="2.625" style="17" customWidth="1"/>
    <col min="18" max="19" width="15.625" style="17" customWidth="1"/>
    <col min="20" max="16384" width="9" style="17"/>
  </cols>
  <sheetData>
    <row r="1" spans="1:19" ht="13.5" customHeight="1" thickBot="1" x14ac:dyDescent="0.35">
      <c r="A1" s="15"/>
      <c r="B1" s="15"/>
      <c r="C1" s="15"/>
      <c r="D1" s="241" t="s">
        <v>61</v>
      </c>
      <c r="E1" s="241"/>
      <c r="F1" s="241"/>
      <c r="G1" s="241"/>
      <c r="H1" s="241"/>
      <c r="I1" s="241"/>
      <c r="K1" s="82"/>
      <c r="L1" s="82"/>
      <c r="M1" s="82"/>
      <c r="N1" s="82"/>
      <c r="O1" s="82"/>
    </row>
    <row r="2" spans="1:19" ht="13.5" customHeight="1" x14ac:dyDescent="0.3">
      <c r="A2" s="15"/>
      <c r="B2" s="15"/>
      <c r="C2" s="15"/>
      <c r="D2" s="241" t="s">
        <v>62</v>
      </c>
      <c r="E2" s="241"/>
      <c r="F2" s="241"/>
      <c r="G2" s="241"/>
      <c r="H2" s="241"/>
      <c r="I2" s="241"/>
      <c r="K2" s="18" t="s">
        <v>240</v>
      </c>
      <c r="L2" s="63" t="s">
        <v>473</v>
      </c>
      <c r="M2" s="82"/>
      <c r="N2" s="18" t="s">
        <v>2</v>
      </c>
      <c r="O2" s="63" t="s">
        <v>488</v>
      </c>
    </row>
    <row r="3" spans="1:19" ht="13.5" customHeight="1" thickBot="1" x14ac:dyDescent="0.35">
      <c r="A3" s="15"/>
      <c r="B3" s="15"/>
      <c r="C3" s="15"/>
      <c r="D3" s="15"/>
      <c r="E3" s="15"/>
      <c r="F3" s="15"/>
      <c r="G3" s="15"/>
      <c r="H3" s="15"/>
      <c r="I3" s="15"/>
      <c r="K3" s="19" t="s">
        <v>241</v>
      </c>
      <c r="L3" s="81" t="s">
        <v>474</v>
      </c>
      <c r="M3" s="82"/>
      <c r="N3" s="79" t="s">
        <v>204</v>
      </c>
      <c r="O3" s="98">
        <f ca="1">TODAY()</f>
        <v>44904</v>
      </c>
    </row>
    <row r="4" spans="1:19" ht="13.5" customHeight="1" thickBot="1" x14ac:dyDescent="0.35">
      <c r="A4" s="242" t="s">
        <v>63</v>
      </c>
      <c r="B4" s="242"/>
      <c r="C4" s="242"/>
      <c r="D4" s="242"/>
      <c r="E4" s="242"/>
      <c r="F4" s="242"/>
      <c r="G4" s="242"/>
      <c r="H4" s="242"/>
      <c r="I4" s="242"/>
      <c r="K4" s="19" t="s">
        <v>5</v>
      </c>
      <c r="L4" s="81" t="s">
        <v>475</v>
      </c>
      <c r="M4" s="82"/>
      <c r="N4" s="93" t="s">
        <v>242</v>
      </c>
      <c r="O4" s="94">
        <v>0</v>
      </c>
    </row>
    <row r="5" spans="1:19" ht="13.5" customHeight="1" thickBot="1" x14ac:dyDescent="0.35">
      <c r="A5" s="242"/>
      <c r="B5" s="242"/>
      <c r="C5" s="242"/>
      <c r="D5" s="242"/>
      <c r="E5" s="242"/>
      <c r="F5" s="242"/>
      <c r="G5" s="242"/>
      <c r="H5" s="242"/>
      <c r="I5" s="242"/>
      <c r="K5" s="20" t="s">
        <v>239</v>
      </c>
      <c r="L5" s="80" t="s">
        <v>476</v>
      </c>
      <c r="M5" s="17"/>
      <c r="N5" s="95"/>
      <c r="O5" s="95"/>
    </row>
    <row r="6" spans="1:19" ht="13.5" customHeight="1" x14ac:dyDescent="0.3">
      <c r="A6" s="15"/>
      <c r="B6" s="15"/>
      <c r="C6" s="15"/>
      <c r="D6" s="15"/>
      <c r="E6" s="15"/>
      <c r="F6" s="15"/>
      <c r="G6" s="15"/>
      <c r="H6" s="15"/>
      <c r="I6" s="15"/>
      <c r="K6" s="17"/>
      <c r="L6" s="17"/>
      <c r="M6" s="17"/>
      <c r="N6" s="95"/>
      <c r="O6" s="95"/>
    </row>
    <row r="7" spans="1:19" ht="13.5" customHeight="1" x14ac:dyDescent="0.3">
      <c r="A7" s="243" t="s">
        <v>64</v>
      </c>
      <c r="B7" s="243"/>
      <c r="C7" s="244" t="str">
        <f ca="1">K8</f>
        <v>GLS-2212090830-5301(N)</v>
      </c>
      <c r="D7" s="245"/>
      <c r="E7" s="15"/>
      <c r="F7" s="15"/>
      <c r="G7" s="22" t="s">
        <v>65</v>
      </c>
      <c r="H7" s="246" t="str">
        <f>O2</f>
        <v>대리 우 동 현</v>
      </c>
      <c r="I7" s="246"/>
      <c r="K7" s="92" t="s">
        <v>370</v>
      </c>
      <c r="L7" s="17"/>
      <c r="M7" s="17"/>
      <c r="N7" s="95"/>
      <c r="O7" s="95"/>
    </row>
    <row r="8" spans="1:19" ht="13.5" customHeight="1" thickBot="1" x14ac:dyDescent="0.35">
      <c r="A8" s="243" t="s">
        <v>66</v>
      </c>
      <c r="B8" s="243"/>
      <c r="C8" s="245" t="str">
        <f>L2 &amp; " 귀중"</f>
        <v>하람정보 귀중</v>
      </c>
      <c r="D8" s="245"/>
      <c r="E8" s="15"/>
      <c r="F8" s="15"/>
      <c r="G8" s="22" t="s">
        <v>67</v>
      </c>
      <c r="H8" s="246" t="str">
        <f>IFERROR(VLOOKUP(H7,견적담당자INFO,2,0),"")</f>
        <v>010-5769-7610</v>
      </c>
      <c r="I8" s="246"/>
      <c r="K8" s="100" t="str">
        <f ca="1">"GLS-" &amp; TEXT(O3,"yymmdd") &amp; "0" &amp; N25*100 &amp; O4 &amp; "-" &amp; VLOOKUP(H7,견적담당자INFO,4,0) &amp; "(N)"</f>
        <v>GLS-2212090830-5301(N)</v>
      </c>
      <c r="L8" s="99"/>
      <c r="M8" s="21"/>
      <c r="N8" s="21"/>
    </row>
    <row r="9" spans="1:19" ht="13.5" customHeight="1" x14ac:dyDescent="0.3">
      <c r="A9" s="243" t="s">
        <v>68</v>
      </c>
      <c r="B9" s="243"/>
      <c r="C9" s="245" t="str">
        <f>L3 &amp; "님"</f>
        <v>정영호 상무님</v>
      </c>
      <c r="D9" s="245"/>
      <c r="E9" s="15"/>
      <c r="F9" s="15"/>
      <c r="G9" s="22" t="s">
        <v>69</v>
      </c>
      <c r="H9" s="247" t="str">
        <f>IFERROR(VLOOKUP(H7,견적담당자INFO,3,0),"")</f>
        <v>dhwoo@gluesys.com</v>
      </c>
      <c r="I9" s="246"/>
      <c r="K9" s="149"/>
      <c r="L9" s="65" t="s">
        <v>332</v>
      </c>
      <c r="M9" s="65" t="s">
        <v>121</v>
      </c>
      <c r="N9" s="65" t="s">
        <v>424</v>
      </c>
      <c r="O9" s="105" t="s">
        <v>423</v>
      </c>
      <c r="P9" s="66" t="s">
        <v>217</v>
      </c>
      <c r="R9" s="235" t="s">
        <v>420</v>
      </c>
      <c r="S9" s="236"/>
    </row>
    <row r="10" spans="1:19" ht="13.5" customHeight="1" thickBot="1" x14ac:dyDescent="0.35">
      <c r="A10" s="248" t="s">
        <v>70</v>
      </c>
      <c r="B10" s="249"/>
      <c r="C10" s="250" t="str">
        <f>L4</f>
        <v>010-5497-7770</v>
      </c>
      <c r="D10" s="251"/>
      <c r="E10" s="15"/>
      <c r="F10" s="15"/>
      <c r="G10" s="252" t="s">
        <v>71</v>
      </c>
      <c r="H10" s="254" t="s">
        <v>72</v>
      </c>
      <c r="I10" s="254"/>
      <c r="K10" s="67" t="s">
        <v>117</v>
      </c>
      <c r="L10" s="109" t="s">
        <v>489</v>
      </c>
      <c r="M10" s="110">
        <v>1</v>
      </c>
      <c r="N10" s="102">
        <f>IFERROR(INDEX('AS5 DB'!$G$3:$G$12,MATCH(L10,AS5일체형,0))*M10,"-")</f>
        <v>40000000</v>
      </c>
      <c r="O10" s="103">
        <f>IFERROR(N10*(1-$N$25),"-")</f>
        <v>6800000.0000000019</v>
      </c>
      <c r="P10" s="86" t="str">
        <f>IFERROR(INDEX('AS5 DB'!$D$3:$D$12,MATCH(L10,AS5일체형,0)),"-")</f>
        <v>AS-5001004</v>
      </c>
      <c r="R10" s="237"/>
      <c r="S10" s="238"/>
    </row>
    <row r="11" spans="1:19" ht="13.5" customHeight="1" x14ac:dyDescent="0.3">
      <c r="A11" s="243" t="s">
        <v>73</v>
      </c>
      <c r="B11" s="243"/>
      <c r="C11" s="256">
        <f ca="1">O3</f>
        <v>44904</v>
      </c>
      <c r="D11" s="256"/>
      <c r="E11" s="15"/>
      <c r="F11" s="15"/>
      <c r="G11" s="253"/>
      <c r="H11" s="255"/>
      <c r="I11" s="255"/>
      <c r="K11" s="67" t="s">
        <v>126</v>
      </c>
      <c r="L11" s="109" t="s">
        <v>127</v>
      </c>
      <c r="M11" s="110">
        <v>4</v>
      </c>
      <c r="N11" s="102">
        <f>IFERROR(INDEX('AS5 DB'!$G$29:$G$31,MATCH(L11,메모리,0))*M11,"-")</f>
        <v>6800000</v>
      </c>
      <c r="O11" s="103">
        <f>IFERROR(N11*(1-$N$25),"-")</f>
        <v>1156000.0000000002</v>
      </c>
      <c r="P11" s="86" t="s">
        <v>238</v>
      </c>
      <c r="Q11" s="108"/>
      <c r="R11" s="176" t="s">
        <v>261</v>
      </c>
      <c r="S11" s="177" t="s">
        <v>440</v>
      </c>
    </row>
    <row r="12" spans="1:19" ht="13.5" customHeight="1" x14ac:dyDescent="0.3">
      <c r="A12" s="243" t="s">
        <v>74</v>
      </c>
      <c r="B12" s="243"/>
      <c r="C12" s="256">
        <f ca="1">IFERROR(C11+15,"")</f>
        <v>44919</v>
      </c>
      <c r="D12" s="245"/>
      <c r="E12" s="15"/>
      <c r="F12" s="15"/>
      <c r="G12" s="252" t="s">
        <v>75</v>
      </c>
      <c r="H12" s="257" t="s">
        <v>76</v>
      </c>
      <c r="I12" s="258"/>
      <c r="K12" s="71"/>
      <c r="L12" s="72"/>
      <c r="M12" s="70"/>
      <c r="N12" s="83"/>
      <c r="O12" s="104"/>
      <c r="P12" s="106"/>
      <c r="R12" s="176" t="s">
        <v>260</v>
      </c>
      <c r="S12" s="81">
        <v>16</v>
      </c>
    </row>
    <row r="13" spans="1:19" ht="13.5" customHeight="1" x14ac:dyDescent="0.3">
      <c r="A13" s="243" t="s">
        <v>77</v>
      </c>
      <c r="B13" s="243"/>
      <c r="C13" s="245" t="s">
        <v>111</v>
      </c>
      <c r="D13" s="245"/>
      <c r="E13" s="15"/>
      <c r="F13" s="15"/>
      <c r="G13" s="253"/>
      <c r="H13" s="259"/>
      <c r="I13" s="260"/>
      <c r="K13" s="67" t="s">
        <v>122</v>
      </c>
      <c r="L13" s="109" t="s">
        <v>147</v>
      </c>
      <c r="M13" s="110">
        <v>9</v>
      </c>
      <c r="N13" s="102">
        <f>IFERROR(INDEX('AS5 DB'!$G$32:$G$66,MATCH(L13,디스크,0))*M13,"-")</f>
        <v>63990000</v>
      </c>
      <c r="O13" s="103">
        <f>IFERROR(N13*(1-$N$25),"-")</f>
        <v>10878300.000000002</v>
      </c>
      <c r="P13" s="87" t="str">
        <f>IFERROR(INDEX('AS5 DB'!$D$32:$D$66,MATCH(L13,디스크,0)),"-")</f>
        <v>HD-SS5K016T</v>
      </c>
      <c r="R13" s="176" t="s">
        <v>121</v>
      </c>
      <c r="S13" s="81">
        <v>7</v>
      </c>
    </row>
    <row r="14" spans="1:19" ht="13.5" customHeight="1" x14ac:dyDescent="0.3">
      <c r="A14" s="23"/>
      <c r="B14" s="23"/>
      <c r="C14" s="24"/>
      <c r="D14" s="24"/>
      <c r="E14" s="15"/>
      <c r="F14" s="15"/>
      <c r="G14" s="23"/>
      <c r="H14" s="25"/>
      <c r="I14" s="25"/>
      <c r="K14" s="67" t="s">
        <v>123</v>
      </c>
      <c r="L14" s="109"/>
      <c r="M14" s="110"/>
      <c r="N14" s="102" t="str">
        <f>IFERROR(INDEX('AS5 DB'!$G$32:$G$66,MATCH(L14,디스크,0))*M14,"-")</f>
        <v>-</v>
      </c>
      <c r="O14" s="103" t="str">
        <f>IFERROR(N14*(1-$N$25),"-")</f>
        <v>-</v>
      </c>
      <c r="P14" s="87" t="str">
        <f>IFERROR(INDEX('AS5 DB'!$D$32:$D$66,MATCH(L14,디스크,0)),"-")</f>
        <v>-</v>
      </c>
      <c r="R14" s="178" t="s">
        <v>262</v>
      </c>
      <c r="S14" s="179" t="str">
        <f>IFERROR(ROUNDDOWN(S13*S12*0.9091,0),0) &amp; "TB"</f>
        <v>101TB</v>
      </c>
    </row>
    <row r="15" spans="1:19" ht="13.5" customHeight="1" x14ac:dyDescent="0.3">
      <c r="A15" s="23" t="s">
        <v>114</v>
      </c>
      <c r="B15" s="24" t="s">
        <v>78</v>
      </c>
      <c r="C15" s="261" t="str">
        <f>"일금"&amp;IF(MID(H45,1,1)="1",NUMBERSTRING(H45,1),NUMBERSTRING(H45,1))&amp;"원정(VAT포함)"</f>
        <v>일금이천오백삼십팔만팔천원정(VAT포함)</v>
      </c>
      <c r="D15" s="261"/>
      <c r="E15" s="261"/>
      <c r="F15" s="26"/>
      <c r="G15" s="15"/>
      <c r="H15" s="15"/>
      <c r="I15" s="15"/>
      <c r="K15" s="71"/>
      <c r="L15" s="72"/>
      <c r="M15" s="70"/>
      <c r="N15" s="83"/>
      <c r="O15" s="104"/>
      <c r="P15" s="106"/>
      <c r="R15" s="178" t="s">
        <v>410</v>
      </c>
      <c r="S15" s="181">
        <v>1</v>
      </c>
    </row>
    <row r="16" spans="1:19" ht="13.5" customHeight="1" x14ac:dyDescent="0.3">
      <c r="A16" s="23" t="s">
        <v>79</v>
      </c>
      <c r="B16" s="24" t="s">
        <v>78</v>
      </c>
      <c r="C16" s="241" t="str">
        <f>IF(L5="","건 명을 입력하세요",L5)</f>
        <v>Usable 100TB NL-SAS 제안 건</v>
      </c>
      <c r="D16" s="241"/>
      <c r="E16" s="241"/>
      <c r="F16" s="15"/>
      <c r="G16" s="15"/>
      <c r="H16" s="15"/>
      <c r="I16" s="15"/>
      <c r="K16" s="67" t="s">
        <v>124</v>
      </c>
      <c r="L16" s="109" t="s">
        <v>44</v>
      </c>
      <c r="M16" s="110">
        <v>1</v>
      </c>
      <c r="N16" s="102">
        <f>IFERROR(INDEX('AS5 DB'!$G$67:$G$71,MATCH(L16,NIC,0))*M16,"-")</f>
        <v>7500000</v>
      </c>
      <c r="O16" s="103">
        <f>IFERROR(N16*(1-$N$25),"-")</f>
        <v>1275000.0000000002</v>
      </c>
      <c r="P16" s="87" t="str">
        <f>IFERROR(INDEX('AS5 DB'!$D$67:$D$71,MATCH(L16,NIC,0)),"-")</f>
        <v>NC-10GU0002</v>
      </c>
      <c r="R16" s="178" t="s">
        <v>263</v>
      </c>
      <c r="S16" s="179" t="str">
        <f>S13 &amp; "D+" &amp; VLOOKUP(S11,RAID표,2,0) &amp; S15 &amp; "S"</f>
        <v>7D+1P+1S</v>
      </c>
    </row>
    <row r="17" spans="1:19" ht="13.5" customHeight="1" thickBot="1" x14ac:dyDescent="0.35">
      <c r="A17" s="23"/>
      <c r="B17" s="24"/>
      <c r="C17" s="24"/>
      <c r="D17" s="24"/>
      <c r="E17" s="15"/>
      <c r="F17" s="15"/>
      <c r="G17" s="15"/>
      <c r="H17" s="15"/>
      <c r="I17" s="15"/>
      <c r="K17" s="67" t="s">
        <v>125</v>
      </c>
      <c r="L17" s="109" t="s">
        <v>45</v>
      </c>
      <c r="M17" s="110">
        <v>1</v>
      </c>
      <c r="N17" s="102">
        <f>IFERROR(INDEX('AS5 DB'!$G$67:$G$71,MATCH(L17,NIC,0))*M17,"-")</f>
        <v>10000000</v>
      </c>
      <c r="O17" s="103">
        <f>IFERROR(N17*(1-$N$25),"-")</f>
        <v>1700000.0000000005</v>
      </c>
      <c r="P17" s="87" t="str">
        <f>IFERROR(INDEX('AS5 DB'!$D$67:$D$71,MATCH(L17,NIC,0)),"-")</f>
        <v>NC-10GO0002</v>
      </c>
      <c r="R17" s="180" t="s">
        <v>419</v>
      </c>
      <c r="S17" s="189">
        <f>IF(RIGHT(S11,1)="5", S13+2, S13+3)</f>
        <v>9</v>
      </c>
    </row>
    <row r="18" spans="1:19" ht="13.5" customHeight="1" x14ac:dyDescent="0.3">
      <c r="A18" s="262" t="s">
        <v>80</v>
      </c>
      <c r="B18" s="262"/>
      <c r="C18" s="262"/>
      <c r="D18" s="262"/>
      <c r="E18" s="262"/>
      <c r="F18" s="15"/>
      <c r="G18" s="15"/>
      <c r="H18" s="263" t="s">
        <v>81</v>
      </c>
      <c r="I18" s="263"/>
      <c r="K18" s="71"/>
      <c r="L18" s="72"/>
      <c r="M18" s="70"/>
      <c r="N18" s="83"/>
      <c r="O18" s="104"/>
      <c r="P18" s="106"/>
    </row>
    <row r="19" spans="1:19" ht="13.5" customHeight="1" x14ac:dyDescent="0.3">
      <c r="A19" s="27" t="s">
        <v>82</v>
      </c>
      <c r="B19" s="264" t="s">
        <v>83</v>
      </c>
      <c r="C19" s="264"/>
      <c r="D19" s="264" t="s">
        <v>84</v>
      </c>
      <c r="E19" s="264"/>
      <c r="F19" s="28" t="s">
        <v>85</v>
      </c>
      <c r="G19" s="27" t="s">
        <v>86</v>
      </c>
      <c r="H19" s="27" t="s">
        <v>87</v>
      </c>
      <c r="I19" s="27" t="s">
        <v>88</v>
      </c>
      <c r="K19" s="67" t="s">
        <v>448</v>
      </c>
      <c r="L19" s="109" t="s">
        <v>493</v>
      </c>
      <c r="M19" s="110">
        <v>0</v>
      </c>
      <c r="N19" s="102">
        <f>IFERROR(INDEX('AS5 DB'!$G$72:$G$78,MATCH(L19,HBA_IB,0))*M19,"-")</f>
        <v>0</v>
      </c>
      <c r="O19" s="103">
        <f>IFERROR(N19*(1-$N$25),"-")</f>
        <v>0</v>
      </c>
      <c r="P19" s="87" t="str">
        <f>IFERROR(INDEX('AS5 DB'!$D$72:$D$78,MATCH(L19,HBA_IB,0)),"-")</f>
        <v>HB-1016G01</v>
      </c>
      <c r="R19" s="97"/>
    </row>
    <row r="20" spans="1:19" ht="13.5" customHeight="1" x14ac:dyDescent="0.3">
      <c r="A20" s="269" t="str">
        <f>IFERROR(L10 &amp; "," &amp; S11 &amp; "(" &amp; S16 &amp; ") Usable " &amp; S14,"표를 완성해주세요")</f>
        <v>AnyStor500-4, RAID5(7D+1P+1S) Usable 101TB</v>
      </c>
      <c r="B20" s="269"/>
      <c r="C20" s="269"/>
      <c r="D20" s="269"/>
      <c r="E20" s="269"/>
      <c r="F20" s="269"/>
      <c r="G20" s="269"/>
      <c r="H20" s="269"/>
      <c r="I20" s="269"/>
      <c r="K20" s="67" t="s">
        <v>449</v>
      </c>
      <c r="L20" s="109"/>
      <c r="M20" s="110"/>
      <c r="N20" s="102" t="str">
        <f>IFERROR(INDEX('AS5 DB'!$G$72:$G$78,MATCH(L20,HBA_IB,0))*M20,"-")</f>
        <v>-</v>
      </c>
      <c r="O20" s="103" t="str">
        <f>IFERROR(N20*(1-$N$25),"-")</f>
        <v>-</v>
      </c>
      <c r="P20" s="87" t="str">
        <f>IFERROR(INDEX('AS5 DB'!$D$72:$D$78,MATCH(L20,HBA_IB,0)),"-")</f>
        <v>-</v>
      </c>
    </row>
    <row r="21" spans="1:19" ht="13.5" customHeight="1" x14ac:dyDescent="0.3">
      <c r="A21" s="29">
        <v>1</v>
      </c>
      <c r="B21" s="270" t="str">
        <f>P10</f>
        <v>AS-5001004</v>
      </c>
      <c r="C21" s="271"/>
      <c r="D21" s="272" t="s">
        <v>487</v>
      </c>
      <c r="E21" s="273"/>
      <c r="F21" s="30">
        <f>M10</f>
        <v>1</v>
      </c>
      <c r="G21" s="31">
        <f>N26</f>
        <v>135790000</v>
      </c>
      <c r="H21" s="32">
        <f>O27</f>
        <v>23080000</v>
      </c>
      <c r="I21" s="30">
        <f>F21*H21</f>
        <v>23080000</v>
      </c>
      <c r="K21" s="71"/>
      <c r="L21" s="72"/>
      <c r="M21" s="70"/>
      <c r="N21" s="83"/>
      <c r="O21" s="104"/>
      <c r="P21" s="106"/>
    </row>
    <row r="22" spans="1:19" ht="13.5" customHeight="1" x14ac:dyDescent="0.3">
      <c r="A22" s="33"/>
      <c r="B22" s="274"/>
      <c r="C22" s="275"/>
      <c r="D22" s="276" t="str">
        <f>IFERROR(MID(L11,1,2) * M11 &amp; "GB Memory", "메모리 입력해주세요")</f>
        <v>64GB Memory</v>
      </c>
      <c r="E22" s="277"/>
      <c r="F22" s="34"/>
      <c r="G22" s="35"/>
      <c r="H22" s="36"/>
      <c r="I22" s="34"/>
      <c r="K22" s="67" t="s">
        <v>209</v>
      </c>
      <c r="L22" s="109" t="s">
        <v>490</v>
      </c>
      <c r="M22" s="110">
        <v>1</v>
      </c>
      <c r="N22" s="102">
        <f>IFERROR(INDEX('AS5 DB'!$G$81:$G$89,MATCH(L22,AS5워런티,0))*M22,"-")</f>
        <v>7500000</v>
      </c>
      <c r="O22" s="103">
        <f>IFERROR(N22*(1-$N$25),"-")</f>
        <v>1275000.0000000002</v>
      </c>
      <c r="P22" s="84" t="str">
        <f>IFERROR(INDEX('AS5 DB'!$D$81:$D$89,MATCH(L22,AS5워런티,0)),"-")</f>
        <v>SV-WT524-1Y</v>
      </c>
    </row>
    <row r="23" spans="1:19" ht="13.5" customHeight="1" x14ac:dyDescent="0.3">
      <c r="A23" s="33"/>
      <c r="B23" s="265"/>
      <c r="C23" s="266"/>
      <c r="D23" s="267" t="s">
        <v>90</v>
      </c>
      <c r="E23" s="268"/>
      <c r="F23" s="34"/>
      <c r="G23" s="35"/>
      <c r="H23" s="36"/>
      <c r="I23" s="34"/>
      <c r="K23" s="71"/>
      <c r="L23" s="72"/>
      <c r="M23" s="70"/>
      <c r="N23" s="83"/>
      <c r="O23" s="104"/>
      <c r="P23" s="106"/>
    </row>
    <row r="24" spans="1:19" ht="13.5" customHeight="1" thickBot="1" x14ac:dyDescent="0.35">
      <c r="A24" s="33"/>
      <c r="B24" s="265"/>
      <c r="C24" s="266"/>
      <c r="D24" s="276" t="str">
        <f>IFERROR("Hot-Swappable " &amp; RIGHT(L10,LEN(L10)-FIND("-",L10)) &amp; " Disk Bay","표에서 모델을 골라주세요")</f>
        <v>Hot-Swappable 4 Disk Bay</v>
      </c>
      <c r="E24" s="277"/>
      <c r="F24" s="34"/>
      <c r="G24" s="35"/>
      <c r="H24" s="36"/>
      <c r="I24" s="34"/>
      <c r="K24" s="67" t="s">
        <v>216</v>
      </c>
      <c r="L24" s="109" t="s">
        <v>491</v>
      </c>
      <c r="M24" s="186">
        <v>0</v>
      </c>
      <c r="N24" s="102">
        <f>IFERROR(INDEX('AS5 DB'!$G$79:$G$79,MATCH(L24,워런티복제,0))*M24,"-")</f>
        <v>0</v>
      </c>
      <c r="O24" s="103">
        <f>IFERROR(N24*(1-$N$25),"-")</f>
        <v>0</v>
      </c>
      <c r="P24" s="188" t="str">
        <f>IFERROR(INDEX('AS5 DB'!$D$79:$D$79,MATCH(L24,워런티복제,0)),"-")</f>
        <v>AR-0000LR1</v>
      </c>
    </row>
    <row r="25" spans="1:19" ht="13.5" customHeight="1" x14ac:dyDescent="0.3">
      <c r="A25" s="33"/>
      <c r="B25" s="37"/>
      <c r="C25" s="38"/>
      <c r="D25" s="267" t="s">
        <v>112</v>
      </c>
      <c r="E25" s="268"/>
      <c r="F25" s="34"/>
      <c r="G25" s="35"/>
      <c r="H25" s="36"/>
      <c r="I25" s="34"/>
      <c r="K25" s="73"/>
      <c r="L25" s="74"/>
      <c r="M25" s="152" t="s">
        <v>421</v>
      </c>
      <c r="N25" s="164">
        <v>0.83</v>
      </c>
      <c r="O25" s="165"/>
      <c r="P25" s="239"/>
    </row>
    <row r="26" spans="1:19" ht="13.5" customHeight="1" thickBot="1" x14ac:dyDescent="0.35">
      <c r="A26" s="39"/>
      <c r="B26" s="40"/>
      <c r="C26" s="41"/>
      <c r="D26" s="42"/>
      <c r="E26" s="43"/>
      <c r="F26" s="44"/>
      <c r="G26" s="45"/>
      <c r="H26" s="46"/>
      <c r="I26" s="44"/>
      <c r="K26" s="75"/>
      <c r="L26" s="76"/>
      <c r="M26" s="187" t="s">
        <v>422</v>
      </c>
      <c r="N26" s="88">
        <f>SUM(N10:N24)</f>
        <v>135790000</v>
      </c>
      <c r="O26" s="89">
        <f>SUM(O10:O24)</f>
        <v>23084300.000000004</v>
      </c>
      <c r="P26" s="240"/>
    </row>
    <row r="27" spans="1:19" ht="13.5" customHeight="1" thickBot="1" x14ac:dyDescent="0.35">
      <c r="A27" s="33"/>
      <c r="B27" s="265" t="s">
        <v>91</v>
      </c>
      <c r="C27" s="266"/>
      <c r="D27" s="278" t="s">
        <v>451</v>
      </c>
      <c r="E27" s="279"/>
      <c r="F27" s="34"/>
      <c r="G27" s="35"/>
      <c r="H27" s="36"/>
      <c r="I27" s="34"/>
      <c r="K27" s="21"/>
      <c r="L27" s="21"/>
      <c r="M27" s="191" t="s">
        <v>459</v>
      </c>
      <c r="N27" s="192"/>
      <c r="O27" s="193">
        <f>ROUNDDOWN(O26,-4)</f>
        <v>23080000</v>
      </c>
    </row>
    <row r="28" spans="1:19" ht="13.5" customHeight="1" x14ac:dyDescent="0.3">
      <c r="A28" s="33"/>
      <c r="B28" s="265"/>
      <c r="C28" s="266"/>
      <c r="D28" s="267" t="s">
        <v>92</v>
      </c>
      <c r="E28" s="268"/>
      <c r="F28" s="34"/>
      <c r="G28" s="35"/>
      <c r="H28" s="47"/>
      <c r="I28" s="34"/>
      <c r="K28" s="111" t="s">
        <v>273</v>
      </c>
      <c r="L28" s="21"/>
      <c r="M28" s="21"/>
      <c r="N28" s="96"/>
      <c r="O28" s="21"/>
    </row>
    <row r="29" spans="1:19" ht="13.5" customHeight="1" x14ac:dyDescent="0.3">
      <c r="A29" s="33"/>
      <c r="B29" s="274"/>
      <c r="C29" s="275"/>
      <c r="D29" s="278" t="s">
        <v>93</v>
      </c>
      <c r="E29" s="279"/>
      <c r="F29" s="34"/>
      <c r="G29" s="35"/>
      <c r="H29" s="36"/>
      <c r="I29" s="34"/>
      <c r="K29" s="113" t="s">
        <v>425</v>
      </c>
      <c r="L29" s="21"/>
      <c r="M29" s="21"/>
      <c r="N29" s="17"/>
      <c r="O29" s="17"/>
    </row>
    <row r="30" spans="1:19" ht="13.5" customHeight="1" x14ac:dyDescent="0.3">
      <c r="A30" s="33"/>
      <c r="B30" s="274"/>
      <c r="C30" s="275"/>
      <c r="D30" s="267" t="s">
        <v>94</v>
      </c>
      <c r="E30" s="268"/>
      <c r="F30" s="34"/>
      <c r="G30" s="35"/>
      <c r="H30" s="36"/>
      <c r="I30" s="34"/>
      <c r="K30" s="16" t="s">
        <v>426</v>
      </c>
      <c r="L30" s="17"/>
      <c r="M30" s="21"/>
      <c r="N30" s="17"/>
      <c r="O30" s="17"/>
    </row>
    <row r="31" spans="1:19" ht="13.5" customHeight="1" x14ac:dyDescent="0.3">
      <c r="A31" s="33"/>
      <c r="B31" s="274"/>
      <c r="C31" s="275"/>
      <c r="D31" s="278" t="s">
        <v>95</v>
      </c>
      <c r="E31" s="279"/>
      <c r="F31" s="34"/>
      <c r="G31" s="35"/>
      <c r="H31" s="36"/>
      <c r="I31" s="34"/>
      <c r="K31" s="21" t="s">
        <v>427</v>
      </c>
      <c r="L31" s="17"/>
      <c r="M31" s="21"/>
      <c r="N31" s="17"/>
      <c r="O31" s="17"/>
    </row>
    <row r="32" spans="1:19" ht="13.5" customHeight="1" x14ac:dyDescent="0.3">
      <c r="A32" s="48"/>
      <c r="B32" s="49"/>
      <c r="C32" s="50"/>
      <c r="D32" s="267" t="s">
        <v>96</v>
      </c>
      <c r="E32" s="268"/>
      <c r="F32" s="34"/>
      <c r="G32" s="35"/>
      <c r="H32" s="36"/>
      <c r="I32" s="34"/>
      <c r="K32" s="21" t="s">
        <v>431</v>
      </c>
      <c r="L32" s="17"/>
      <c r="M32" s="21"/>
      <c r="N32" s="17"/>
      <c r="O32" s="17"/>
    </row>
    <row r="33" spans="1:15" ht="27" customHeight="1" x14ac:dyDescent="0.3">
      <c r="A33" s="51"/>
      <c r="B33" s="274"/>
      <c r="C33" s="275"/>
      <c r="D33" s="267" t="s">
        <v>97</v>
      </c>
      <c r="E33" s="268"/>
      <c r="F33" s="34"/>
      <c r="G33" s="35"/>
      <c r="H33" s="36"/>
      <c r="I33" s="34"/>
      <c r="K33" s="113" t="s">
        <v>430</v>
      </c>
      <c r="L33" s="17"/>
      <c r="M33" s="21"/>
      <c r="N33" s="17"/>
      <c r="O33" s="17"/>
    </row>
    <row r="34" spans="1:15" ht="13.5" customHeight="1" x14ac:dyDescent="0.3">
      <c r="A34" s="52"/>
      <c r="B34" s="274"/>
      <c r="C34" s="275"/>
      <c r="D34" s="267" t="s">
        <v>98</v>
      </c>
      <c r="E34" s="268"/>
      <c r="F34" s="34"/>
      <c r="G34" s="35"/>
      <c r="H34" s="36"/>
      <c r="I34" s="34"/>
      <c r="K34" s="21" t="s">
        <v>428</v>
      </c>
      <c r="L34" s="112"/>
      <c r="M34" s="112"/>
      <c r="N34" s="112"/>
      <c r="O34" s="112"/>
    </row>
    <row r="35" spans="1:15" ht="13.5" customHeight="1" x14ac:dyDescent="0.3">
      <c r="A35" s="52"/>
      <c r="B35" s="274"/>
      <c r="C35" s="275"/>
      <c r="D35" s="267" t="s">
        <v>99</v>
      </c>
      <c r="E35" s="268"/>
      <c r="F35" s="34"/>
      <c r="G35" s="35"/>
      <c r="H35" s="36"/>
      <c r="I35" s="34"/>
      <c r="K35" s="151" t="s">
        <v>429</v>
      </c>
      <c r="L35" s="150"/>
      <c r="M35" s="150"/>
      <c r="N35" s="150"/>
      <c r="O35" s="150"/>
    </row>
    <row r="36" spans="1:15" ht="13.5" customHeight="1" x14ac:dyDescent="0.3">
      <c r="A36" s="52"/>
      <c r="B36" s="274"/>
      <c r="C36" s="275"/>
      <c r="D36" s="267" t="s">
        <v>100</v>
      </c>
      <c r="E36" s="268"/>
      <c r="F36" s="34"/>
      <c r="G36" s="35"/>
      <c r="H36" s="36"/>
      <c r="I36" s="34"/>
      <c r="K36" s="16" t="s">
        <v>432</v>
      </c>
      <c r="L36" s="17"/>
      <c r="M36" s="21"/>
      <c r="N36" s="21"/>
      <c r="O36" s="21"/>
    </row>
    <row r="37" spans="1:15" ht="13.5" customHeight="1" x14ac:dyDescent="0.3">
      <c r="A37" s="52"/>
      <c r="B37" s="49"/>
      <c r="C37" s="50"/>
      <c r="D37" s="267" t="s">
        <v>101</v>
      </c>
      <c r="E37" s="268"/>
      <c r="F37" s="34"/>
      <c r="G37" s="35"/>
      <c r="H37" s="36"/>
      <c r="I37" s="34"/>
      <c r="K37" s="17"/>
      <c r="L37" s="17"/>
      <c r="M37" s="21"/>
      <c r="N37" s="21"/>
      <c r="O37" s="21"/>
    </row>
    <row r="38" spans="1:15" ht="13.5" customHeight="1" x14ac:dyDescent="0.3">
      <c r="A38" s="39"/>
      <c r="B38" s="291"/>
      <c r="C38" s="292"/>
      <c r="D38" s="289"/>
      <c r="E38" s="290"/>
      <c r="F38" s="44"/>
      <c r="G38" s="45"/>
      <c r="H38" s="46"/>
      <c r="I38" s="44"/>
      <c r="K38" s="21"/>
      <c r="L38" s="17"/>
      <c r="M38" s="17"/>
      <c r="N38" s="21"/>
      <c r="O38" s="21"/>
    </row>
    <row r="39" spans="1:15" ht="13.5" customHeight="1" x14ac:dyDescent="0.3">
      <c r="A39" s="48">
        <v>2</v>
      </c>
      <c r="B39" s="274" t="str">
        <f>P13</f>
        <v>HD-SS5K016T</v>
      </c>
      <c r="C39" s="275"/>
      <c r="D39" s="276" t="str">
        <f>L13</f>
        <v xml:space="preserve">16TB Hot Swappable NL SAS 7.2Krpm  </v>
      </c>
      <c r="E39" s="277"/>
      <c r="F39" s="34">
        <f>M13</f>
        <v>9</v>
      </c>
      <c r="G39" s="35"/>
      <c r="H39" s="36"/>
      <c r="I39" s="34"/>
      <c r="K39" s="21" t="s">
        <v>269</v>
      </c>
      <c r="L39" s="17"/>
      <c r="M39" s="21"/>
      <c r="N39" s="21"/>
      <c r="O39" s="21"/>
    </row>
    <row r="40" spans="1:15" ht="13.5" customHeight="1" x14ac:dyDescent="0.3">
      <c r="A40" s="48">
        <v>3</v>
      </c>
      <c r="B40" s="274" t="str">
        <f>P16</f>
        <v>NC-10GU0002</v>
      </c>
      <c r="C40" s="275"/>
      <c r="D40" s="276" t="str">
        <f>L16</f>
        <v>2 Port 10G Network Interface(UTP)</v>
      </c>
      <c r="E40" s="277"/>
      <c r="F40" s="34">
        <f>M16</f>
        <v>1</v>
      </c>
      <c r="G40" s="35"/>
      <c r="H40" s="36">
        <f>O16</f>
        <v>1275000.0000000002</v>
      </c>
      <c r="I40" s="34">
        <f>H40*F40</f>
        <v>1275000.0000000002</v>
      </c>
      <c r="L40" s="17"/>
      <c r="M40" s="21"/>
      <c r="N40" s="21"/>
      <c r="O40" s="21"/>
    </row>
    <row r="41" spans="1:15" ht="13.5" customHeight="1" x14ac:dyDescent="0.3">
      <c r="A41" s="48">
        <v>4</v>
      </c>
      <c r="B41" s="274" t="str">
        <f>P17</f>
        <v>NC-10GO0002</v>
      </c>
      <c r="C41" s="275"/>
      <c r="D41" s="276" t="str">
        <f>L17</f>
        <v>2 Port 10G Network Interface(Optic)</v>
      </c>
      <c r="E41" s="277"/>
      <c r="F41" s="34">
        <v>1</v>
      </c>
      <c r="G41" s="35"/>
      <c r="H41" s="36">
        <f>O17</f>
        <v>1700000.0000000005</v>
      </c>
      <c r="I41" s="34">
        <f>H41*F41</f>
        <v>1700000.0000000005</v>
      </c>
      <c r="L41" s="17"/>
      <c r="M41" s="21"/>
      <c r="N41" s="21"/>
      <c r="O41" s="21"/>
    </row>
    <row r="42" spans="1:15" ht="13.5" customHeight="1" x14ac:dyDescent="0.3">
      <c r="A42" s="48">
        <v>5</v>
      </c>
      <c r="B42" s="296" t="str">
        <f>P22</f>
        <v>SV-WT524-1Y</v>
      </c>
      <c r="C42" s="275"/>
      <c r="D42" s="276" t="str">
        <f>L22</f>
        <v>1year warranty for AS500-24</v>
      </c>
      <c r="E42" s="277"/>
      <c r="F42" s="34">
        <f>M22</f>
        <v>1</v>
      </c>
      <c r="G42" s="35"/>
      <c r="H42" s="36"/>
      <c r="I42" s="34"/>
      <c r="K42" s="21"/>
      <c r="L42" s="17"/>
      <c r="M42" s="21"/>
      <c r="N42" s="21"/>
      <c r="O42" s="21"/>
    </row>
    <row r="43" spans="1:15" ht="13.5" customHeight="1" x14ac:dyDescent="0.3">
      <c r="A43" s="53" t="s">
        <v>105</v>
      </c>
      <c r="B43" s="54"/>
      <c r="C43" s="54"/>
      <c r="D43" s="54"/>
      <c r="E43" s="54"/>
      <c r="F43" s="55"/>
      <c r="G43" s="56" t="s">
        <v>106</v>
      </c>
      <c r="H43" s="282">
        <f>I21</f>
        <v>23080000</v>
      </c>
      <c r="I43" s="283"/>
      <c r="K43" s="17"/>
      <c r="L43" s="17"/>
      <c r="M43" s="21"/>
      <c r="N43" s="21"/>
      <c r="O43" s="21"/>
    </row>
    <row r="44" spans="1:15" ht="13.5" customHeight="1" x14ac:dyDescent="0.3">
      <c r="A44" s="57"/>
      <c r="B44" s="15"/>
      <c r="C44" s="15"/>
      <c r="D44" s="15"/>
      <c r="E44" s="15"/>
      <c r="F44" s="58"/>
      <c r="G44" s="56" t="s">
        <v>107</v>
      </c>
      <c r="H44" s="282">
        <f>H43/10</f>
        <v>2308000</v>
      </c>
      <c r="I44" s="283"/>
      <c r="K44" s="17"/>
      <c r="L44" s="17"/>
    </row>
    <row r="45" spans="1:15" ht="13.5" customHeight="1" x14ac:dyDescent="0.3">
      <c r="A45" s="59"/>
      <c r="B45" s="60"/>
      <c r="C45" s="60"/>
      <c r="D45" s="60"/>
      <c r="E45" s="60"/>
      <c r="F45" s="61"/>
      <c r="G45" s="56" t="s">
        <v>108</v>
      </c>
      <c r="H45" s="282">
        <f>H44+H43</f>
        <v>25388000</v>
      </c>
      <c r="I45" s="283"/>
      <c r="K45" s="17"/>
      <c r="L45" s="17"/>
    </row>
    <row r="46" spans="1:15" ht="13.5" customHeight="1" x14ac:dyDescent="0.3">
      <c r="A46" s="284" t="s">
        <v>109</v>
      </c>
      <c r="B46" s="285"/>
      <c r="C46" s="285"/>
      <c r="D46" s="285"/>
      <c r="E46" s="285"/>
      <c r="F46" s="285"/>
      <c r="G46" s="285"/>
      <c r="H46" s="285"/>
      <c r="I46" s="286"/>
      <c r="K46" s="17"/>
    </row>
    <row r="47" spans="1:15" ht="13.5" customHeight="1" x14ac:dyDescent="0.3">
      <c r="A47" s="287" t="str">
        <f>"1. 무상유지보수 기간은 " &amp; F42 &amp; "년(" &amp; 12*F42 &amp;"개월)입니다."</f>
        <v>1. 무상유지보수 기간은 1년(12개월)입니다.</v>
      </c>
      <c r="B47" s="241"/>
      <c r="C47" s="241"/>
      <c r="D47" s="241"/>
      <c r="E47" s="241"/>
      <c r="F47" s="241"/>
      <c r="G47" s="241"/>
      <c r="H47" s="241"/>
      <c r="I47" s="288"/>
      <c r="K47" s="17"/>
    </row>
    <row r="48" spans="1:15" ht="13.5" customHeight="1" x14ac:dyDescent="0.3">
      <c r="A48" s="287" t="s">
        <v>113</v>
      </c>
      <c r="B48" s="241"/>
      <c r="C48" s="241"/>
      <c r="D48" s="241"/>
      <c r="E48" s="241"/>
      <c r="F48" s="241"/>
      <c r="G48" s="241"/>
      <c r="H48" s="241"/>
      <c r="I48" s="288"/>
    </row>
    <row r="49" spans="1:9" ht="13.5" customHeight="1" x14ac:dyDescent="0.3">
      <c r="A49" s="287" t="s">
        <v>110</v>
      </c>
      <c r="B49" s="241"/>
      <c r="C49" s="241"/>
      <c r="D49" s="241"/>
      <c r="E49" s="241"/>
      <c r="F49" s="241"/>
      <c r="G49" s="241"/>
      <c r="H49" s="241"/>
      <c r="I49" s="288"/>
    </row>
    <row r="50" spans="1:9" ht="13.5" customHeight="1" x14ac:dyDescent="0.3">
      <c r="A50" s="293" t="str">
        <f>"4. 위 견적은 "&amp; C16 &amp;"에 한하여 적용 됩니다."</f>
        <v>4. 위 견적은 Usable 100TB NL-SAS 제안 건에 한하여 적용 됩니다.</v>
      </c>
      <c r="B50" s="294"/>
      <c r="C50" s="294"/>
      <c r="D50" s="294"/>
      <c r="E50" s="294"/>
      <c r="F50" s="294"/>
      <c r="G50" s="294"/>
      <c r="H50" s="294"/>
      <c r="I50" s="295"/>
    </row>
    <row r="51" spans="1:9" ht="13.5" customHeight="1" x14ac:dyDescent="0.3">
      <c r="A51" s="280"/>
      <c r="B51" s="262"/>
      <c r="C51" s="262"/>
      <c r="D51" s="262"/>
      <c r="E51" s="262"/>
      <c r="F51" s="262"/>
      <c r="G51" s="262"/>
      <c r="H51" s="262"/>
      <c r="I51" s="281"/>
    </row>
  </sheetData>
  <mergeCells count="81">
    <mergeCell ref="A49:I49"/>
    <mergeCell ref="A50:I50"/>
    <mergeCell ref="B40:C40"/>
    <mergeCell ref="D40:E40"/>
    <mergeCell ref="B42:C42"/>
    <mergeCell ref="D42:E42"/>
    <mergeCell ref="B41:C41"/>
    <mergeCell ref="D41:E41"/>
    <mergeCell ref="B35:C35"/>
    <mergeCell ref="D35:E35"/>
    <mergeCell ref="A51:I51"/>
    <mergeCell ref="H43:I43"/>
    <mergeCell ref="H44:I44"/>
    <mergeCell ref="H45:I45"/>
    <mergeCell ref="A46:I46"/>
    <mergeCell ref="A47:I47"/>
    <mergeCell ref="A48:I48"/>
    <mergeCell ref="B36:C36"/>
    <mergeCell ref="D36:E36"/>
    <mergeCell ref="D37:E37"/>
    <mergeCell ref="B39:C39"/>
    <mergeCell ref="D39:E39"/>
    <mergeCell ref="D38:E38"/>
    <mergeCell ref="B38:C38"/>
    <mergeCell ref="D32:E32"/>
    <mergeCell ref="B33:C33"/>
    <mergeCell ref="D33:E33"/>
    <mergeCell ref="B34:C34"/>
    <mergeCell ref="D34:E34"/>
    <mergeCell ref="B29:C29"/>
    <mergeCell ref="D29:E29"/>
    <mergeCell ref="B30:C30"/>
    <mergeCell ref="D30:E30"/>
    <mergeCell ref="B31:C31"/>
    <mergeCell ref="D31:E31"/>
    <mergeCell ref="B28:C28"/>
    <mergeCell ref="D28:E28"/>
    <mergeCell ref="A20:I20"/>
    <mergeCell ref="B21:C21"/>
    <mergeCell ref="D21:E21"/>
    <mergeCell ref="B22:C22"/>
    <mergeCell ref="D22:E22"/>
    <mergeCell ref="B23:C23"/>
    <mergeCell ref="D23:E23"/>
    <mergeCell ref="B24:C24"/>
    <mergeCell ref="D24:E24"/>
    <mergeCell ref="D25:E25"/>
    <mergeCell ref="B27:C27"/>
    <mergeCell ref="D27:E27"/>
    <mergeCell ref="C15:E15"/>
    <mergeCell ref="C16:E16"/>
    <mergeCell ref="A18:E18"/>
    <mergeCell ref="H18:I18"/>
    <mergeCell ref="B19:C19"/>
    <mergeCell ref="D19:E19"/>
    <mergeCell ref="G10:G11"/>
    <mergeCell ref="H10:I11"/>
    <mergeCell ref="A11:B11"/>
    <mergeCell ref="C11:D11"/>
    <mergeCell ref="A12:B12"/>
    <mergeCell ref="C12:D12"/>
    <mergeCell ref="G12:G13"/>
    <mergeCell ref="H12:I13"/>
    <mergeCell ref="A13:B13"/>
    <mergeCell ref="C13:D13"/>
    <mergeCell ref="R9:S10"/>
    <mergeCell ref="P25:P26"/>
    <mergeCell ref="D1:I1"/>
    <mergeCell ref="D2:I2"/>
    <mergeCell ref="A4:I5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A10:B10"/>
    <mergeCell ref="C10:D10"/>
  </mergeCells>
  <phoneticPr fontId="2" type="noConversion"/>
  <dataValidations count="9">
    <dataValidation type="list" allowBlank="1" showInputMessage="1" showErrorMessage="1" sqref="N5 O2">
      <formula1>견적담당자</formula1>
    </dataValidation>
    <dataValidation type="list" allowBlank="1" showInputMessage="1" showErrorMessage="1" sqref="L10">
      <formula1>AS5일체형</formula1>
    </dataValidation>
    <dataValidation type="list" allowBlank="1" showInputMessage="1" showErrorMessage="1" sqref="L11">
      <formula1>메모리</formula1>
    </dataValidation>
    <dataValidation type="list" allowBlank="1" showInputMessage="1" showErrorMessage="1" sqref="L13:L14">
      <formula1>디스크</formula1>
    </dataValidation>
    <dataValidation type="list" allowBlank="1" showInputMessage="1" showErrorMessage="1" sqref="L16:L17">
      <formula1>NIC</formula1>
    </dataValidation>
    <dataValidation type="list" allowBlank="1" showInputMessage="1" showErrorMessage="1" sqref="L22">
      <formula1>AS5워런티</formula1>
    </dataValidation>
    <dataValidation type="list" allowBlank="1" showInputMessage="1" showErrorMessage="1" sqref="L24">
      <formula1>워런티복제</formula1>
    </dataValidation>
    <dataValidation type="list" allowBlank="1" showInputMessage="1" showErrorMessage="1" sqref="S11">
      <formula1>RAID</formula1>
    </dataValidation>
    <dataValidation type="list" allowBlank="1" showInputMessage="1" showErrorMessage="1" sqref="L19:L20">
      <formula1>HBA_IB</formula1>
    </dataValidation>
  </dataValidations>
  <hyperlinks>
    <hyperlink ref="H9" r:id="rId1" display="gspark@gluesys.com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WorksheetToNewWorkbook">
                <anchor moveWithCells="1" sizeWithCells="1">
                  <from>
                    <xdr:col>15</xdr:col>
                    <xdr:colOff>0</xdr:colOff>
                    <xdr:row>26</xdr:row>
                    <xdr:rowOff>142875</xdr:rowOff>
                  </from>
                  <to>
                    <xdr:col>16</xdr:col>
                    <xdr:colOff>19050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수식제거">
                <anchor moveWithCells="1" sizeWithCells="1">
                  <from>
                    <xdr:col>14</xdr:col>
                    <xdr:colOff>1038225</xdr:colOff>
                    <xdr:row>31</xdr:row>
                    <xdr:rowOff>95250</xdr:rowOff>
                  </from>
                  <to>
                    <xdr:col>16</xdr:col>
                    <xdr:colOff>28575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_erase">
                <anchor moveWithCells="1" sizeWithCells="1">
                  <from>
                    <xdr:col>14</xdr:col>
                    <xdr:colOff>1028700</xdr:colOff>
                    <xdr:row>35</xdr:row>
                    <xdr:rowOff>57150</xdr:rowOff>
                  </from>
                  <to>
                    <xdr:col>16</xdr:col>
                    <xdr:colOff>38100</xdr:colOff>
                    <xdr:row>39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49"/>
  <sheetViews>
    <sheetView workbookViewId="0">
      <selection activeCell="L19" sqref="L19"/>
    </sheetView>
  </sheetViews>
  <sheetFormatPr defaultColWidth="9" defaultRowHeight="16.5" x14ac:dyDescent="0.3"/>
  <cols>
    <col min="1" max="1" width="7.125" style="17" customWidth="1"/>
    <col min="2" max="2" width="3.625" style="17" customWidth="1"/>
    <col min="3" max="3" width="6.625" style="17" customWidth="1"/>
    <col min="4" max="4" width="12.375" style="17" customWidth="1"/>
    <col min="5" max="5" width="17.125" style="17" customWidth="1"/>
    <col min="6" max="6" width="3.625" style="17" customWidth="1"/>
    <col min="7" max="8" width="9.625" style="17" customWidth="1"/>
    <col min="9" max="9" width="10.125" style="17" customWidth="1"/>
    <col min="10" max="10" width="4.625" style="16" customWidth="1"/>
    <col min="11" max="11" width="10.625" style="16" customWidth="1"/>
    <col min="12" max="12" width="36.875" style="16" customWidth="1"/>
    <col min="13" max="13" width="9.125" style="16" customWidth="1"/>
    <col min="14" max="14" width="16.625" style="16" customWidth="1"/>
    <col min="15" max="15" width="13.625" style="16" customWidth="1"/>
    <col min="16" max="16" width="13.5" style="17" bestFit="1" customWidth="1"/>
    <col min="17" max="17" width="2.625" style="17" customWidth="1"/>
    <col min="18" max="19" width="15.625" style="17" customWidth="1"/>
    <col min="20" max="16384" width="9" style="17"/>
  </cols>
  <sheetData>
    <row r="1" spans="1:19" ht="13.5" customHeight="1" thickBot="1" x14ac:dyDescent="0.35">
      <c r="A1" s="15"/>
      <c r="B1" s="15"/>
      <c r="C1" s="15"/>
      <c r="D1" s="241" t="s">
        <v>61</v>
      </c>
      <c r="E1" s="241"/>
      <c r="F1" s="241"/>
      <c r="G1" s="241"/>
      <c r="H1" s="241"/>
      <c r="I1" s="241"/>
      <c r="K1" s="82"/>
      <c r="L1" s="82"/>
      <c r="M1" s="82"/>
      <c r="N1" s="82"/>
      <c r="O1" s="82"/>
    </row>
    <row r="2" spans="1:19" ht="13.5" customHeight="1" x14ac:dyDescent="0.3">
      <c r="A2" s="15"/>
      <c r="B2" s="15"/>
      <c r="C2" s="15"/>
      <c r="D2" s="241" t="s">
        <v>62</v>
      </c>
      <c r="E2" s="241"/>
      <c r="F2" s="241"/>
      <c r="G2" s="241"/>
      <c r="H2" s="241"/>
      <c r="I2" s="241"/>
      <c r="K2" s="18" t="s">
        <v>240</v>
      </c>
      <c r="L2" s="63" t="s">
        <v>452</v>
      </c>
      <c r="M2" s="82"/>
      <c r="N2" s="18" t="s">
        <v>2</v>
      </c>
      <c r="O2" s="63" t="s">
        <v>460</v>
      </c>
    </row>
    <row r="3" spans="1:19" ht="13.5" customHeight="1" thickBot="1" x14ac:dyDescent="0.35">
      <c r="A3" s="15"/>
      <c r="B3" s="15"/>
      <c r="C3" s="15"/>
      <c r="D3" s="15"/>
      <c r="E3" s="15"/>
      <c r="F3" s="15"/>
      <c r="G3" s="15"/>
      <c r="H3" s="15"/>
      <c r="I3" s="15"/>
      <c r="K3" s="19" t="s">
        <v>241</v>
      </c>
      <c r="L3" s="81"/>
      <c r="M3" s="82"/>
      <c r="N3" s="79" t="s">
        <v>204</v>
      </c>
      <c r="O3" s="98">
        <f ca="1">TODAY()</f>
        <v>44904</v>
      </c>
    </row>
    <row r="4" spans="1:19" ht="13.5" customHeight="1" thickBot="1" x14ac:dyDescent="0.35">
      <c r="A4" s="242" t="s">
        <v>63</v>
      </c>
      <c r="B4" s="242"/>
      <c r="C4" s="242"/>
      <c r="D4" s="242"/>
      <c r="E4" s="242"/>
      <c r="F4" s="242"/>
      <c r="G4" s="242"/>
      <c r="H4" s="242"/>
      <c r="I4" s="242"/>
      <c r="K4" s="19" t="s">
        <v>5</v>
      </c>
      <c r="L4" s="81"/>
      <c r="M4" s="82"/>
      <c r="N4" s="93" t="s">
        <v>242</v>
      </c>
      <c r="O4" s="94">
        <v>0</v>
      </c>
    </row>
    <row r="5" spans="1:19" ht="13.5" customHeight="1" thickBot="1" x14ac:dyDescent="0.35">
      <c r="A5" s="242"/>
      <c r="B5" s="242"/>
      <c r="C5" s="242"/>
      <c r="D5" s="242"/>
      <c r="E5" s="242"/>
      <c r="F5" s="242"/>
      <c r="G5" s="242"/>
      <c r="H5" s="242"/>
      <c r="I5" s="242"/>
      <c r="K5" s="20" t="s">
        <v>239</v>
      </c>
      <c r="L5" s="80" t="s">
        <v>453</v>
      </c>
      <c r="M5" s="17"/>
      <c r="N5" s="95"/>
      <c r="O5" s="95"/>
    </row>
    <row r="6" spans="1:19" ht="13.5" customHeight="1" x14ac:dyDescent="0.3">
      <c r="A6" s="15"/>
      <c r="B6" s="15"/>
      <c r="C6" s="15"/>
      <c r="D6" s="15"/>
      <c r="E6" s="15"/>
      <c r="F6" s="15"/>
      <c r="G6" s="15"/>
      <c r="H6" s="15"/>
      <c r="I6" s="15"/>
      <c r="K6" s="17"/>
      <c r="L6" s="17"/>
      <c r="M6" s="17"/>
      <c r="N6" s="95"/>
      <c r="O6" s="95"/>
    </row>
    <row r="7" spans="1:19" ht="13.5" customHeight="1" x14ac:dyDescent="0.3">
      <c r="A7" s="243" t="s">
        <v>64</v>
      </c>
      <c r="B7" s="243"/>
      <c r="C7" s="244" t="str">
        <f ca="1">K8</f>
        <v>GLS-2212090890-8158(P)</v>
      </c>
      <c r="D7" s="245"/>
      <c r="E7" s="15"/>
      <c r="F7" s="15"/>
      <c r="G7" s="22" t="s">
        <v>65</v>
      </c>
      <c r="H7" s="246" t="str">
        <f>O2</f>
        <v>이사 허 남 중</v>
      </c>
      <c r="I7" s="246"/>
      <c r="K7" s="92" t="s">
        <v>370</v>
      </c>
      <c r="L7" s="17"/>
      <c r="M7" s="17"/>
      <c r="N7" s="95"/>
      <c r="O7" s="95"/>
    </row>
    <row r="8" spans="1:19" ht="13.5" customHeight="1" thickBot="1" x14ac:dyDescent="0.35">
      <c r="A8" s="243" t="s">
        <v>66</v>
      </c>
      <c r="B8" s="243"/>
      <c r="C8" s="245" t="str">
        <f>L2 &amp; " 귀중"</f>
        <v>영일 귀중</v>
      </c>
      <c r="D8" s="245"/>
      <c r="E8" s="15"/>
      <c r="F8" s="15"/>
      <c r="G8" s="22" t="s">
        <v>67</v>
      </c>
      <c r="H8" s="246" t="str">
        <f>IFERROR(VLOOKUP(H7,견적담당자INFO,2,0),"")</f>
        <v>010-3741-0869</v>
      </c>
      <c r="I8" s="246"/>
      <c r="K8" s="100" t="str">
        <f ca="1">"GLS-" &amp; TEXT(O3,"yymmdd") &amp; "0" &amp; N24*100 &amp; O4 &amp; "-" &amp; VLOOKUP(H7,견적담당자INFO,4,0) &amp; "(P)"</f>
        <v>GLS-2212090890-8158(P)</v>
      </c>
      <c r="L8" s="99"/>
      <c r="M8" s="21"/>
      <c r="N8" s="21"/>
      <c r="R8" s="16"/>
    </row>
    <row r="9" spans="1:19" ht="13.5" customHeight="1" x14ac:dyDescent="0.3">
      <c r="A9" s="243" t="s">
        <v>68</v>
      </c>
      <c r="B9" s="243"/>
      <c r="C9" s="245" t="str">
        <f>L3 &amp; "님"</f>
        <v>님</v>
      </c>
      <c r="D9" s="245"/>
      <c r="E9" s="15"/>
      <c r="F9" s="15"/>
      <c r="G9" s="22" t="s">
        <v>69</v>
      </c>
      <c r="H9" s="247" t="str">
        <f>IFERROR(VLOOKUP(H7,견적담당자INFO,3,0),"")</f>
        <v>njheo@gluesys.com</v>
      </c>
      <c r="I9" s="246"/>
      <c r="K9" s="101"/>
      <c r="L9" s="65" t="s">
        <v>332</v>
      </c>
      <c r="M9" s="65" t="s">
        <v>121</v>
      </c>
      <c r="N9" s="65" t="s">
        <v>424</v>
      </c>
      <c r="O9" s="105" t="s">
        <v>423</v>
      </c>
      <c r="P9" s="66" t="s">
        <v>217</v>
      </c>
      <c r="R9" s="235" t="s">
        <v>420</v>
      </c>
      <c r="S9" s="236"/>
    </row>
    <row r="10" spans="1:19" ht="13.5" customHeight="1" thickBot="1" x14ac:dyDescent="0.35">
      <c r="A10" s="248" t="s">
        <v>70</v>
      </c>
      <c r="B10" s="249"/>
      <c r="C10" s="250">
        <f>L4</f>
        <v>0</v>
      </c>
      <c r="D10" s="251"/>
      <c r="E10" s="15"/>
      <c r="F10" s="15"/>
      <c r="G10" s="252" t="s">
        <v>71</v>
      </c>
      <c r="H10" s="254" t="s">
        <v>72</v>
      </c>
      <c r="I10" s="254"/>
      <c r="K10" s="67" t="s">
        <v>117</v>
      </c>
      <c r="L10" s="109" t="s">
        <v>288</v>
      </c>
      <c r="M10" s="110">
        <v>1</v>
      </c>
      <c r="N10" s="102">
        <f>IFERROR(INDEX('AS5 DB'!$G$111:$G$116,MATCH(L10,PlugDISK,0))*M10,"-")</f>
        <v>47000000</v>
      </c>
      <c r="O10" s="103">
        <f>IFERROR(N10*(1-$N$24),"-")</f>
        <v>5169999.9999999991</v>
      </c>
      <c r="P10" s="85" t="str">
        <f>IFERROR(INDEX('AS5 DB'!$D$111:$D$116,MATCH(L10,PlugDISK,0)),"-")</f>
        <v>PD-7001004</v>
      </c>
      <c r="R10" s="237"/>
      <c r="S10" s="238"/>
    </row>
    <row r="11" spans="1:19" ht="13.5" customHeight="1" x14ac:dyDescent="0.3">
      <c r="A11" s="243" t="s">
        <v>73</v>
      </c>
      <c r="B11" s="243"/>
      <c r="C11" s="256">
        <f ca="1">O3</f>
        <v>44904</v>
      </c>
      <c r="D11" s="256"/>
      <c r="E11" s="15"/>
      <c r="F11" s="15"/>
      <c r="G11" s="253"/>
      <c r="H11" s="255"/>
      <c r="I11" s="255"/>
      <c r="K11" s="67" t="s">
        <v>126</v>
      </c>
      <c r="L11" s="109" t="s">
        <v>127</v>
      </c>
      <c r="M11" s="110">
        <v>4</v>
      </c>
      <c r="N11" s="102">
        <f>IFERROR(INDEX('AS5 DB'!$G$29:$G$31,MATCH(L11,메모리,0))*M11,"-")</f>
        <v>6800000</v>
      </c>
      <c r="O11" s="103">
        <f>IFERROR(N11*(1-$N$24),"-")</f>
        <v>747999.99999999988</v>
      </c>
      <c r="P11" s="86" t="s">
        <v>238</v>
      </c>
      <c r="Q11" s="108"/>
      <c r="R11" s="176" t="s">
        <v>261</v>
      </c>
      <c r="S11" s="177" t="s">
        <v>440</v>
      </c>
    </row>
    <row r="12" spans="1:19" ht="13.5" customHeight="1" x14ac:dyDescent="0.3">
      <c r="A12" s="243" t="s">
        <v>74</v>
      </c>
      <c r="B12" s="243"/>
      <c r="C12" s="256">
        <f ca="1">IFERROR(C11+15,"")</f>
        <v>44919</v>
      </c>
      <c r="D12" s="245"/>
      <c r="E12" s="15"/>
      <c r="F12" s="15"/>
      <c r="G12" s="252" t="s">
        <v>75</v>
      </c>
      <c r="H12" s="257" t="s">
        <v>76</v>
      </c>
      <c r="I12" s="258"/>
      <c r="K12" s="71"/>
      <c r="L12" s="72"/>
      <c r="M12" s="70"/>
      <c r="N12" s="83"/>
      <c r="O12" s="104"/>
      <c r="P12" s="106"/>
      <c r="R12" s="176" t="s">
        <v>260</v>
      </c>
      <c r="S12" s="81">
        <v>16</v>
      </c>
    </row>
    <row r="13" spans="1:19" ht="13.5" customHeight="1" x14ac:dyDescent="0.3">
      <c r="A13" s="243" t="s">
        <v>77</v>
      </c>
      <c r="B13" s="243"/>
      <c r="C13" s="245" t="s">
        <v>111</v>
      </c>
      <c r="D13" s="245"/>
      <c r="E13" s="15"/>
      <c r="F13" s="15"/>
      <c r="G13" s="253"/>
      <c r="H13" s="259"/>
      <c r="I13" s="260"/>
      <c r="K13" s="67" t="s">
        <v>122</v>
      </c>
      <c r="L13" s="109" t="s">
        <v>145</v>
      </c>
      <c r="M13" s="110">
        <v>4</v>
      </c>
      <c r="N13" s="102">
        <f>IFERROR(INDEX('AS5 DB'!$G$32:$G$66,MATCH(L13,디스크,0))*M13,"-")</f>
        <v>22240000</v>
      </c>
      <c r="O13" s="103">
        <f>IFERROR(N13*(1-$N$24),"-")</f>
        <v>2446399.9999999995</v>
      </c>
      <c r="P13" s="87" t="str">
        <f>IFERROR(INDEX('AS5 DB'!$D$32:$D$66,MATCH(L13,디스크,0)),"-")</f>
        <v>HD-SS5K012T</v>
      </c>
      <c r="R13" s="176" t="s">
        <v>433</v>
      </c>
      <c r="S13" s="81">
        <v>2</v>
      </c>
    </row>
    <row r="14" spans="1:19" ht="13.5" customHeight="1" x14ac:dyDescent="0.3">
      <c r="A14" s="23"/>
      <c r="B14" s="23"/>
      <c r="C14" s="24"/>
      <c r="D14" s="24"/>
      <c r="E14" s="15"/>
      <c r="F14" s="15"/>
      <c r="G14" s="23"/>
      <c r="H14" s="25"/>
      <c r="I14" s="25"/>
      <c r="K14" s="67" t="s">
        <v>123</v>
      </c>
      <c r="L14" s="109"/>
      <c r="M14" s="110"/>
      <c r="N14" s="102" t="str">
        <f>IFERROR(INDEX('AS5 DB'!$G$32:$G$66,MATCH(L14,디스크,0))*M14,"-")</f>
        <v>-</v>
      </c>
      <c r="O14" s="103" t="str">
        <f>IFERROR(N14*(1-$N$24),"-")</f>
        <v>-</v>
      </c>
      <c r="P14" s="87" t="str">
        <f>IFERROR(INDEX('AS5 DB'!$D$32:$D$66,MATCH(L14,디스크,0)),"-")</f>
        <v>-</v>
      </c>
      <c r="R14" s="178" t="s">
        <v>262</v>
      </c>
      <c r="S14" s="179" t="str">
        <f>IFERROR(ROUND(S13*S12*0.9091,1),0) &amp; "TB"</f>
        <v>29.1TB</v>
      </c>
    </row>
    <row r="15" spans="1:19" ht="13.5" customHeight="1" x14ac:dyDescent="0.3">
      <c r="A15" s="23" t="s">
        <v>114</v>
      </c>
      <c r="B15" s="24" t="s">
        <v>78</v>
      </c>
      <c r="C15" s="261" t="str">
        <f>"일금"&amp;IF(MID(H43,1,1)="1",NUMBERSTRING(H43,1),NUMBERSTRING(H43,1))&amp;"원정(VAT포함)"</f>
        <v>일금구백구십팔만칠천삼백사십원정(VAT포함)</v>
      </c>
      <c r="D15" s="261"/>
      <c r="E15" s="261"/>
      <c r="F15" s="26"/>
      <c r="G15" s="15"/>
      <c r="H15" s="15"/>
      <c r="I15" s="15"/>
      <c r="K15" s="71"/>
      <c r="L15" s="72"/>
      <c r="M15" s="70"/>
      <c r="N15" s="83"/>
      <c r="O15" s="104"/>
      <c r="P15" s="106"/>
      <c r="R15" s="178" t="s">
        <v>410</v>
      </c>
      <c r="S15" s="181">
        <v>1</v>
      </c>
    </row>
    <row r="16" spans="1:19" ht="13.5" customHeight="1" x14ac:dyDescent="0.3">
      <c r="A16" s="23" t="s">
        <v>79</v>
      </c>
      <c r="B16" s="24" t="s">
        <v>78</v>
      </c>
      <c r="C16" s="241" t="str">
        <f>IF(L5="","건 명을 입력하세요",L5)</f>
        <v>영일 PlugDISK AP-04 제안 건</v>
      </c>
      <c r="D16" s="241"/>
      <c r="E16" s="241"/>
      <c r="F16" s="15"/>
      <c r="G16" s="15"/>
      <c r="H16" s="15"/>
      <c r="I16" s="15"/>
      <c r="K16" s="67" t="s">
        <v>124</v>
      </c>
      <c r="L16" s="109" t="s">
        <v>450</v>
      </c>
      <c r="M16" s="110">
        <v>1</v>
      </c>
      <c r="N16" s="102">
        <f>IFERROR(INDEX('AS5 DB'!$G$67:$G$71,MATCH(L16,NIC,0))*M16,"-")</f>
        <v>2000000</v>
      </c>
      <c r="O16" s="103">
        <f>IFERROR(N16*(1-$N$24),"-")</f>
        <v>219999.99999999997</v>
      </c>
      <c r="P16" s="87" t="str">
        <f>IFERROR(INDEX('AS5 DB'!$D$67:$D$71,MATCH(L16,NIC,0)),"-")</f>
        <v>NC-2X00101</v>
      </c>
      <c r="R16" s="178" t="s">
        <v>263</v>
      </c>
      <c r="S16" s="179" t="str">
        <f>S13 &amp; "D+" &amp; VLOOKUP(S11,RAID표,2,0) &amp; S15 &amp; "S"</f>
        <v>2D+1P+1S</v>
      </c>
    </row>
    <row r="17" spans="1:19" ht="13.5" customHeight="1" thickBot="1" x14ac:dyDescent="0.35">
      <c r="A17" s="23"/>
      <c r="B17" s="24"/>
      <c r="C17" s="24"/>
      <c r="D17" s="24"/>
      <c r="E17" s="15"/>
      <c r="F17" s="15"/>
      <c r="G17" s="15"/>
      <c r="H17" s="15"/>
      <c r="I17" s="15"/>
      <c r="K17" s="67" t="s">
        <v>125</v>
      </c>
      <c r="L17" s="109"/>
      <c r="M17" s="110"/>
      <c r="N17" s="102" t="str">
        <f>IFERROR(INDEX('AS5 DB'!$G$67:$G$71,MATCH(L17,NIC,0))*M17,"-")</f>
        <v>-</v>
      </c>
      <c r="O17" s="103" t="str">
        <f>IFERROR(N17*(1-$N$24),"-")</f>
        <v>-</v>
      </c>
      <c r="P17" s="87" t="str">
        <f>IFERROR(INDEX('AS5 DB'!$D$67:$D$71,MATCH(L17,NIC,0)),"-")</f>
        <v>-</v>
      </c>
      <c r="R17" s="180" t="s">
        <v>419</v>
      </c>
      <c r="S17" s="189">
        <f>IF(RIGHT(S11,1)="5", S13+2, S13+3)</f>
        <v>4</v>
      </c>
    </row>
    <row r="18" spans="1:19" ht="13.5" customHeight="1" x14ac:dyDescent="0.3">
      <c r="A18" s="262" t="s">
        <v>80</v>
      </c>
      <c r="B18" s="262"/>
      <c r="C18" s="262"/>
      <c r="D18" s="262"/>
      <c r="E18" s="262"/>
      <c r="F18" s="15"/>
      <c r="G18" s="15"/>
      <c r="H18" s="263" t="s">
        <v>81</v>
      </c>
      <c r="I18" s="263"/>
      <c r="K18" s="71"/>
      <c r="L18" s="72"/>
      <c r="M18" s="70"/>
      <c r="N18" s="83"/>
      <c r="O18" s="104"/>
      <c r="P18" s="106"/>
    </row>
    <row r="19" spans="1:19" ht="13.5" customHeight="1" x14ac:dyDescent="0.3">
      <c r="A19" s="27" t="s">
        <v>82</v>
      </c>
      <c r="B19" s="264" t="s">
        <v>83</v>
      </c>
      <c r="C19" s="264"/>
      <c r="D19" s="264" t="s">
        <v>84</v>
      </c>
      <c r="E19" s="264"/>
      <c r="F19" s="28" t="s">
        <v>85</v>
      </c>
      <c r="G19" s="27" t="s">
        <v>86</v>
      </c>
      <c r="H19" s="27" t="s">
        <v>87</v>
      </c>
      <c r="I19" s="27" t="s">
        <v>88</v>
      </c>
      <c r="K19" s="67" t="s">
        <v>331</v>
      </c>
      <c r="L19" s="109"/>
      <c r="M19" s="110"/>
      <c r="N19" s="102" t="str">
        <f>IFERROR(INDEX('AS5 DB'!$G$72:$G$73,MATCH(L19,HBA_IB,0))*M19,"-")</f>
        <v>-</v>
      </c>
      <c r="O19" s="103" t="str">
        <f>IFERROR(N19*(1-$N$24),"-")</f>
        <v>-</v>
      </c>
      <c r="P19" s="87" t="str">
        <f>IFERROR(INDEX('AS5 DB'!$D$72:$D$73,MATCH(L19,HBA_IB,0)),"-")</f>
        <v>-</v>
      </c>
      <c r="R19" s="97"/>
    </row>
    <row r="20" spans="1:19" ht="13.5" customHeight="1" x14ac:dyDescent="0.3">
      <c r="A20" s="269" t="str">
        <f>L10 &amp; "," &amp; S11 &amp; "(" &amp; S16 &amp; ") Usable " &amp; S14</f>
        <v>PlugDISK AP- 4, RAID5(2D+1P+1S) Usable 29.1TB</v>
      </c>
      <c r="B20" s="269"/>
      <c r="C20" s="269"/>
      <c r="D20" s="269"/>
      <c r="E20" s="269"/>
      <c r="F20" s="269"/>
      <c r="G20" s="269"/>
      <c r="H20" s="269"/>
      <c r="I20" s="269"/>
      <c r="K20" s="71"/>
      <c r="L20" s="72"/>
      <c r="M20" s="70"/>
      <c r="N20" s="83"/>
      <c r="O20" s="104"/>
      <c r="P20" s="106"/>
    </row>
    <row r="21" spans="1:19" ht="13.5" customHeight="1" x14ac:dyDescent="0.3">
      <c r="A21" s="29">
        <v>1</v>
      </c>
      <c r="B21" s="270" t="str">
        <f>P10</f>
        <v>PD-7001004</v>
      </c>
      <c r="C21" s="299"/>
      <c r="D21" s="272" t="s">
        <v>268</v>
      </c>
      <c r="E21" s="273"/>
      <c r="F21" s="30">
        <f>M10</f>
        <v>1</v>
      </c>
      <c r="G21" s="31">
        <f>N25</f>
        <v>82540000</v>
      </c>
      <c r="H21" s="32">
        <f>O25</f>
        <v>9079399.9999999981</v>
      </c>
      <c r="I21" s="30">
        <f>F21*H21</f>
        <v>9079399.9999999981</v>
      </c>
      <c r="K21" s="67" t="s">
        <v>209</v>
      </c>
      <c r="L21" s="109" t="s">
        <v>358</v>
      </c>
      <c r="M21" s="110">
        <v>1</v>
      </c>
      <c r="N21" s="102">
        <f>IFERROR(INDEX('AS5 DB'!$G$90:$G$98,MATCH(L21,PD워런티,0))*M21,"-")</f>
        <v>4500000</v>
      </c>
      <c r="O21" s="103">
        <f>IFERROR(N21*(1-$N$24),"-")</f>
        <v>494999.99999999994</v>
      </c>
      <c r="P21" s="84" t="str">
        <f>IFERROR(INDEX('AS5 DB'!$D$90:$D$98,MATCH(L21,PD워런티,0)),"-")</f>
        <v>SV-WTP04-1Y</v>
      </c>
    </row>
    <row r="22" spans="1:19" ht="13.5" customHeight="1" x14ac:dyDescent="0.3">
      <c r="A22" s="33"/>
      <c r="B22" s="274"/>
      <c r="C22" s="275"/>
      <c r="D22" s="276" t="str">
        <f>IFERROR(MID(L11,1,2) * M11 &amp; "GB Memory", "메모리 입력해주세요")</f>
        <v>64GB Memory</v>
      </c>
      <c r="E22" s="277"/>
      <c r="F22" s="34"/>
      <c r="G22" s="35"/>
      <c r="H22" s="36"/>
      <c r="I22" s="34"/>
      <c r="K22" s="71"/>
      <c r="L22" s="72"/>
      <c r="M22" s="70"/>
      <c r="N22" s="83"/>
      <c r="O22" s="104"/>
      <c r="P22" s="106"/>
    </row>
    <row r="23" spans="1:19" ht="13.5" customHeight="1" thickBot="1" x14ac:dyDescent="0.35">
      <c r="A23" s="33"/>
      <c r="B23" s="265"/>
      <c r="C23" s="266"/>
      <c r="D23" s="267" t="s">
        <v>90</v>
      </c>
      <c r="E23" s="268"/>
      <c r="F23" s="34"/>
      <c r="G23" s="35"/>
      <c r="H23" s="36"/>
      <c r="I23" s="34"/>
      <c r="K23" s="67" t="s">
        <v>216</v>
      </c>
      <c r="L23" s="109"/>
      <c r="M23" s="110"/>
      <c r="N23" s="102" t="str">
        <f>IFERROR(INDEX('AS5 DB'!$G$79:$G$80,MATCH(L23,옵션SW,0))*M23,"-")</f>
        <v>-</v>
      </c>
      <c r="O23" s="103" t="str">
        <f>IFERROR(N23*(1-$N$24),"-")</f>
        <v>-</v>
      </c>
      <c r="P23" s="84" t="str">
        <f>IFERROR(INDEX('AS5 DB'!$D$79:$D$80,MATCH(L23,옵션SW,0)),"-")</f>
        <v>-</v>
      </c>
    </row>
    <row r="24" spans="1:19" ht="13.5" customHeight="1" x14ac:dyDescent="0.3">
      <c r="A24" s="33"/>
      <c r="B24" s="265"/>
      <c r="C24" s="266"/>
      <c r="D24" s="276" t="str">
        <f>IFERROR("Hot-Swappable " &amp; RIGHT(L10,LEN(L10)-FIND("-",L10)) &amp; " Disk Bay","표에서 모델을 골라주세요")</f>
        <v>Hot-Swappable  4 Disk Bay</v>
      </c>
      <c r="E24" s="277"/>
      <c r="F24" s="34"/>
      <c r="G24" s="35"/>
      <c r="H24" s="36"/>
      <c r="I24" s="34"/>
      <c r="K24" s="73"/>
      <c r="L24" s="74"/>
      <c r="M24" s="68" t="s">
        <v>215</v>
      </c>
      <c r="N24" s="164">
        <v>0.89</v>
      </c>
      <c r="O24" s="90"/>
      <c r="P24" s="77"/>
    </row>
    <row r="25" spans="1:19" ht="13.5" customHeight="1" thickBot="1" x14ac:dyDescent="0.35">
      <c r="A25" s="33"/>
      <c r="B25" s="37"/>
      <c r="C25" s="38"/>
      <c r="D25" s="267" t="s">
        <v>112</v>
      </c>
      <c r="E25" s="268"/>
      <c r="F25" s="34"/>
      <c r="G25" s="35"/>
      <c r="H25" s="36"/>
      <c r="I25" s="34"/>
      <c r="K25" s="75"/>
      <c r="L25" s="76"/>
      <c r="M25" s="69" t="s">
        <v>210</v>
      </c>
      <c r="N25" s="88">
        <f>SUM(N10:N23)</f>
        <v>82540000</v>
      </c>
      <c r="O25" s="89">
        <f>SUM(O10:O23)</f>
        <v>9079399.9999999981</v>
      </c>
      <c r="P25" s="78"/>
    </row>
    <row r="26" spans="1:19" ht="13.5" customHeight="1" thickBot="1" x14ac:dyDescent="0.35">
      <c r="A26" s="39"/>
      <c r="B26" s="40"/>
      <c r="C26" s="41"/>
      <c r="D26" s="42"/>
      <c r="E26" s="43"/>
      <c r="F26" s="44"/>
      <c r="G26" s="45"/>
      <c r="H26" s="46"/>
      <c r="I26" s="44"/>
      <c r="K26" s="21"/>
      <c r="L26" s="21"/>
      <c r="M26" s="191" t="s">
        <v>459</v>
      </c>
      <c r="N26" s="192"/>
      <c r="O26" s="193">
        <f>ROUNDDOWN(O25,-4)</f>
        <v>9070000</v>
      </c>
    </row>
    <row r="27" spans="1:19" ht="13.5" customHeight="1" x14ac:dyDescent="0.3">
      <c r="A27" s="33"/>
      <c r="B27" s="265" t="s">
        <v>91</v>
      </c>
      <c r="C27" s="266"/>
      <c r="D27" s="300" t="s">
        <v>279</v>
      </c>
      <c r="E27" s="298"/>
      <c r="F27" s="34"/>
      <c r="G27" s="35"/>
      <c r="H27" s="36"/>
      <c r="I27" s="34"/>
      <c r="K27" s="111" t="s">
        <v>273</v>
      </c>
      <c r="L27" s="21"/>
      <c r="M27" s="21"/>
      <c r="N27" s="96"/>
      <c r="O27" s="21"/>
    </row>
    <row r="28" spans="1:19" ht="13.5" customHeight="1" x14ac:dyDescent="0.3">
      <c r="A28" s="33"/>
      <c r="B28" s="265"/>
      <c r="C28" s="266"/>
      <c r="D28" s="297" t="s">
        <v>285</v>
      </c>
      <c r="E28" s="298"/>
      <c r="F28" s="34"/>
      <c r="G28" s="35"/>
      <c r="H28" s="47"/>
      <c r="I28" s="34"/>
      <c r="K28" s="113" t="s">
        <v>274</v>
      </c>
      <c r="L28" s="21"/>
      <c r="M28" s="21"/>
      <c r="N28" s="17"/>
      <c r="O28" s="17"/>
    </row>
    <row r="29" spans="1:19" ht="13.5" customHeight="1" x14ac:dyDescent="0.3">
      <c r="A29" s="33"/>
      <c r="B29" s="274"/>
      <c r="C29" s="275"/>
      <c r="D29" s="297" t="s">
        <v>286</v>
      </c>
      <c r="E29" s="298"/>
      <c r="F29" s="34"/>
      <c r="G29" s="35"/>
      <c r="H29" s="36"/>
      <c r="I29" s="34"/>
      <c r="K29" s="16" t="s">
        <v>277</v>
      </c>
      <c r="L29" s="17"/>
      <c r="M29" s="21"/>
      <c r="N29" s="17"/>
      <c r="O29" s="17"/>
    </row>
    <row r="30" spans="1:19" ht="13.5" customHeight="1" x14ac:dyDescent="0.3">
      <c r="A30" s="33"/>
      <c r="B30" s="274"/>
      <c r="C30" s="275"/>
      <c r="D30" s="297" t="s">
        <v>280</v>
      </c>
      <c r="E30" s="298"/>
      <c r="F30" s="34"/>
      <c r="G30" s="35"/>
      <c r="H30" s="36"/>
      <c r="I30" s="34"/>
      <c r="K30" s="21" t="s">
        <v>270</v>
      </c>
      <c r="L30" s="17"/>
      <c r="M30" s="21"/>
      <c r="N30" s="17"/>
      <c r="O30" s="17"/>
    </row>
    <row r="31" spans="1:19" ht="13.5" customHeight="1" x14ac:dyDescent="0.3">
      <c r="A31" s="33"/>
      <c r="B31" s="274"/>
      <c r="C31" s="275"/>
      <c r="D31" s="297" t="s">
        <v>281</v>
      </c>
      <c r="E31" s="298"/>
      <c r="F31" s="34"/>
      <c r="G31" s="35"/>
      <c r="H31" s="36"/>
      <c r="I31" s="34"/>
      <c r="K31" s="21" t="s">
        <v>271</v>
      </c>
      <c r="L31" s="17"/>
      <c r="M31" s="21"/>
      <c r="N31" s="17"/>
      <c r="O31" s="17"/>
    </row>
    <row r="32" spans="1:19" ht="13.5" customHeight="1" x14ac:dyDescent="0.3">
      <c r="A32" s="48"/>
      <c r="B32" s="49"/>
      <c r="C32" s="50"/>
      <c r="D32" s="297" t="s">
        <v>282</v>
      </c>
      <c r="E32" s="298"/>
      <c r="F32" s="34"/>
      <c r="G32" s="35"/>
      <c r="H32" s="36"/>
      <c r="I32" s="34"/>
      <c r="K32" s="111" t="s">
        <v>272</v>
      </c>
      <c r="L32" s="17"/>
      <c r="M32" s="21"/>
      <c r="N32" s="17"/>
      <c r="O32" s="17"/>
    </row>
    <row r="33" spans="1:15" ht="13.5" customHeight="1" x14ac:dyDescent="0.3">
      <c r="A33" s="51"/>
      <c r="B33" s="274"/>
      <c r="C33" s="275"/>
      <c r="D33" s="297" t="s">
        <v>283</v>
      </c>
      <c r="E33" s="298"/>
      <c r="F33" s="34"/>
      <c r="G33" s="35"/>
      <c r="H33" s="36"/>
      <c r="I33" s="34"/>
      <c r="K33" s="21" t="s">
        <v>278</v>
      </c>
      <c r="L33" s="112"/>
      <c r="M33" s="112"/>
      <c r="N33" s="112"/>
      <c r="O33" s="112"/>
    </row>
    <row r="34" spans="1:15" ht="13.5" customHeight="1" x14ac:dyDescent="0.3">
      <c r="A34" s="52"/>
      <c r="B34" s="274"/>
      <c r="C34" s="275"/>
      <c r="D34" s="297" t="s">
        <v>284</v>
      </c>
      <c r="E34" s="298"/>
      <c r="F34" s="34"/>
      <c r="G34" s="35"/>
      <c r="H34" s="36"/>
      <c r="I34" s="34"/>
      <c r="K34" s="301" t="s">
        <v>275</v>
      </c>
      <c r="L34" s="301"/>
      <c r="M34" s="301"/>
      <c r="N34" s="301"/>
      <c r="O34" s="301"/>
    </row>
    <row r="35" spans="1:15" ht="13.5" customHeight="1" x14ac:dyDescent="0.3">
      <c r="A35" s="52"/>
      <c r="B35" s="274"/>
      <c r="C35" s="275"/>
      <c r="D35" s="267"/>
      <c r="E35" s="268"/>
      <c r="F35" s="34"/>
      <c r="G35" s="35"/>
      <c r="H35" s="36"/>
      <c r="I35" s="34"/>
      <c r="K35" s="16" t="s">
        <v>276</v>
      </c>
      <c r="L35" s="17"/>
      <c r="M35" s="21"/>
      <c r="N35" s="21"/>
      <c r="O35" s="21"/>
    </row>
    <row r="36" spans="1:15" ht="13.5" customHeight="1" x14ac:dyDescent="0.3">
      <c r="A36" s="48">
        <v>2</v>
      </c>
      <c r="B36" s="274" t="str">
        <f>P13</f>
        <v>HD-SS5K012T</v>
      </c>
      <c r="C36" s="275"/>
      <c r="D36" s="276" t="str">
        <f>L13</f>
        <v xml:space="preserve">12TB Hot Swappable NL SAS 7.2Krpm  </v>
      </c>
      <c r="E36" s="277"/>
      <c r="F36" s="34">
        <f>M13</f>
        <v>4</v>
      </c>
      <c r="G36" s="35"/>
      <c r="H36" s="36"/>
      <c r="I36" s="34"/>
      <c r="K36" s="21" t="s">
        <v>269</v>
      </c>
      <c r="L36" s="17"/>
      <c r="M36" s="21"/>
      <c r="N36" s="21"/>
      <c r="O36" s="21"/>
    </row>
    <row r="37" spans="1:15" ht="13.5" customHeight="1" x14ac:dyDescent="0.3">
      <c r="A37" s="48">
        <v>3</v>
      </c>
      <c r="B37" s="274" t="str">
        <f>P16</f>
        <v>NC-2X00101</v>
      </c>
      <c r="C37" s="275"/>
      <c r="D37" s="276" t="str">
        <f>L16</f>
        <v>2 Port 1G Network Interface(UTP)</v>
      </c>
      <c r="E37" s="277"/>
      <c r="F37" s="34">
        <f>M16</f>
        <v>1</v>
      </c>
      <c r="G37" s="35"/>
      <c r="H37" s="36"/>
      <c r="I37" s="34"/>
      <c r="K37" s="21"/>
      <c r="L37" s="17"/>
      <c r="M37" s="21"/>
      <c r="N37" s="21"/>
      <c r="O37" s="21"/>
    </row>
    <row r="38" spans="1:15" ht="13.5" customHeight="1" x14ac:dyDescent="0.3">
      <c r="A38" s="48">
        <v>4</v>
      </c>
      <c r="B38" s="296" t="str">
        <f>P19</f>
        <v>-</v>
      </c>
      <c r="C38" s="275"/>
      <c r="D38" s="276">
        <f>L19</f>
        <v>0</v>
      </c>
      <c r="E38" s="277"/>
      <c r="F38" s="34">
        <f>M19</f>
        <v>0</v>
      </c>
      <c r="G38" s="35"/>
      <c r="H38" s="36"/>
      <c r="I38" s="34"/>
      <c r="K38" s="21"/>
      <c r="L38" s="17"/>
      <c r="M38" s="21"/>
      <c r="N38" s="21"/>
      <c r="O38" s="21"/>
    </row>
    <row r="39" spans="1:15" ht="13.5" customHeight="1" x14ac:dyDescent="0.3">
      <c r="A39" s="48"/>
      <c r="B39" s="296"/>
      <c r="C39" s="275"/>
      <c r="D39" s="276"/>
      <c r="E39" s="277"/>
      <c r="F39" s="34"/>
      <c r="G39" s="35"/>
      <c r="H39" s="36"/>
      <c r="I39" s="34"/>
      <c r="K39" s="21"/>
      <c r="L39" s="17"/>
      <c r="M39" s="21"/>
      <c r="N39" s="21"/>
      <c r="O39" s="21"/>
    </row>
    <row r="40" spans="1:15" ht="13.5" customHeight="1" x14ac:dyDescent="0.3">
      <c r="A40" s="48"/>
      <c r="B40" s="296"/>
      <c r="C40" s="275"/>
      <c r="D40" s="302"/>
      <c r="E40" s="303"/>
      <c r="F40" s="34"/>
      <c r="G40" s="35"/>
      <c r="H40" s="36"/>
      <c r="I40" s="34"/>
      <c r="K40" s="17"/>
      <c r="L40" s="17"/>
      <c r="M40" s="21"/>
      <c r="N40" s="21"/>
      <c r="O40" s="21"/>
    </row>
    <row r="41" spans="1:15" ht="13.5" customHeight="1" x14ac:dyDescent="0.3">
      <c r="A41" s="53" t="s">
        <v>105</v>
      </c>
      <c r="B41" s="54"/>
      <c r="C41" s="54"/>
      <c r="D41" s="54"/>
      <c r="E41" s="54"/>
      <c r="F41" s="55"/>
      <c r="G41" s="56" t="s">
        <v>106</v>
      </c>
      <c r="H41" s="282">
        <f>SUM(I21:I40)</f>
        <v>9079399.9999999981</v>
      </c>
      <c r="I41" s="283"/>
      <c r="K41" s="17"/>
      <c r="L41" s="17"/>
    </row>
    <row r="42" spans="1:15" ht="13.5" customHeight="1" x14ac:dyDescent="0.3">
      <c r="A42" s="57"/>
      <c r="B42" s="15"/>
      <c r="C42" s="15"/>
      <c r="D42" s="15"/>
      <c r="E42" s="15"/>
      <c r="F42" s="58"/>
      <c r="G42" s="56" t="s">
        <v>107</v>
      </c>
      <c r="H42" s="282">
        <f>H41/10</f>
        <v>907939.99999999977</v>
      </c>
      <c r="I42" s="283"/>
      <c r="K42" s="17"/>
      <c r="L42" s="17"/>
    </row>
    <row r="43" spans="1:15" ht="13.5" customHeight="1" x14ac:dyDescent="0.3">
      <c r="A43" s="59"/>
      <c r="B43" s="60"/>
      <c r="C43" s="60"/>
      <c r="D43" s="60"/>
      <c r="E43" s="60"/>
      <c r="F43" s="61"/>
      <c r="G43" s="56" t="s">
        <v>108</v>
      </c>
      <c r="H43" s="282">
        <f>SUM(H41:I42)</f>
        <v>9987339.9999999981</v>
      </c>
      <c r="I43" s="283"/>
      <c r="K43" s="17"/>
    </row>
    <row r="44" spans="1:15" ht="13.5" customHeight="1" x14ac:dyDescent="0.3">
      <c r="A44" s="284" t="s">
        <v>109</v>
      </c>
      <c r="B44" s="285"/>
      <c r="C44" s="285"/>
      <c r="D44" s="285"/>
      <c r="E44" s="285"/>
      <c r="F44" s="285"/>
      <c r="G44" s="285"/>
      <c r="H44" s="285"/>
      <c r="I44" s="286"/>
      <c r="K44" s="17"/>
    </row>
    <row r="45" spans="1:15" ht="13.5" customHeight="1" x14ac:dyDescent="0.3">
      <c r="A45" s="287" t="str">
        <f>"1. 무상유지보수 기간은 " &amp; F40 &amp; "년(" &amp; 12*F40 &amp;"개월)입니다."</f>
        <v>1. 무상유지보수 기간은 년(0개월)입니다.</v>
      </c>
      <c r="B45" s="241"/>
      <c r="C45" s="241"/>
      <c r="D45" s="241"/>
      <c r="E45" s="241"/>
      <c r="F45" s="241"/>
      <c r="G45" s="241"/>
      <c r="H45" s="241"/>
      <c r="I45" s="288"/>
    </row>
    <row r="46" spans="1:15" ht="13.5" customHeight="1" x14ac:dyDescent="0.3">
      <c r="A46" s="287" t="s">
        <v>113</v>
      </c>
      <c r="B46" s="241"/>
      <c r="C46" s="241"/>
      <c r="D46" s="241"/>
      <c r="E46" s="241"/>
      <c r="F46" s="241"/>
      <c r="G46" s="241"/>
      <c r="H46" s="241"/>
      <c r="I46" s="288"/>
    </row>
    <row r="47" spans="1:15" ht="13.5" customHeight="1" x14ac:dyDescent="0.3">
      <c r="A47" s="287" t="s">
        <v>110</v>
      </c>
      <c r="B47" s="241"/>
      <c r="C47" s="241"/>
      <c r="D47" s="241"/>
      <c r="E47" s="241"/>
      <c r="F47" s="241"/>
      <c r="G47" s="241"/>
      <c r="H47" s="241"/>
      <c r="I47" s="288"/>
    </row>
    <row r="48" spans="1:15" ht="13.5" customHeight="1" x14ac:dyDescent="0.3">
      <c r="A48" s="293" t="str">
        <f>"4. 위 견적은 "&amp; C16 &amp;"에 한하여 적용 됩니다."</f>
        <v>4. 위 견적은 영일 PlugDISK AP-04 제안 건에 한하여 적용 됩니다.</v>
      </c>
      <c r="B48" s="294"/>
      <c r="C48" s="294"/>
      <c r="D48" s="294"/>
      <c r="E48" s="294"/>
      <c r="F48" s="294"/>
      <c r="G48" s="294"/>
      <c r="H48" s="294"/>
      <c r="I48" s="295"/>
    </row>
    <row r="49" spans="1:9" ht="13.5" customHeight="1" x14ac:dyDescent="0.3">
      <c r="A49" s="280"/>
      <c r="B49" s="262"/>
      <c r="C49" s="262"/>
      <c r="D49" s="262"/>
      <c r="E49" s="262"/>
      <c r="F49" s="262"/>
      <c r="G49" s="262"/>
      <c r="H49" s="262"/>
      <c r="I49" s="281"/>
    </row>
  </sheetData>
  <mergeCells count="78">
    <mergeCell ref="A47:I47"/>
    <mergeCell ref="A48:I48"/>
    <mergeCell ref="A49:I49"/>
    <mergeCell ref="H41:I41"/>
    <mergeCell ref="H42:I42"/>
    <mergeCell ref="H43:I43"/>
    <mergeCell ref="A44:I44"/>
    <mergeCell ref="A45:I45"/>
    <mergeCell ref="A46:I46"/>
    <mergeCell ref="B36:C36"/>
    <mergeCell ref="D36:E36"/>
    <mergeCell ref="B37:C37"/>
    <mergeCell ref="D37:E37"/>
    <mergeCell ref="B40:C40"/>
    <mergeCell ref="D40:E40"/>
    <mergeCell ref="B38:C38"/>
    <mergeCell ref="D38:E38"/>
    <mergeCell ref="B39:C39"/>
    <mergeCell ref="D39:E39"/>
    <mergeCell ref="B35:C35"/>
    <mergeCell ref="D35:E35"/>
    <mergeCell ref="D32:E32"/>
    <mergeCell ref="B33:C33"/>
    <mergeCell ref="D33:E33"/>
    <mergeCell ref="B34:C34"/>
    <mergeCell ref="D34:E34"/>
    <mergeCell ref="K34:O34"/>
    <mergeCell ref="B29:C29"/>
    <mergeCell ref="D29:E29"/>
    <mergeCell ref="B30:C30"/>
    <mergeCell ref="D30:E30"/>
    <mergeCell ref="B31:C31"/>
    <mergeCell ref="D31:E31"/>
    <mergeCell ref="B28:C28"/>
    <mergeCell ref="D28:E28"/>
    <mergeCell ref="A20:I20"/>
    <mergeCell ref="B21:C21"/>
    <mergeCell ref="D21:E21"/>
    <mergeCell ref="B22:C22"/>
    <mergeCell ref="D22:E22"/>
    <mergeCell ref="B23:C23"/>
    <mergeCell ref="D23:E23"/>
    <mergeCell ref="B24:C24"/>
    <mergeCell ref="D24:E24"/>
    <mergeCell ref="D25:E25"/>
    <mergeCell ref="B27:C27"/>
    <mergeCell ref="D27:E27"/>
    <mergeCell ref="C15:E15"/>
    <mergeCell ref="C16:E16"/>
    <mergeCell ref="A18:E18"/>
    <mergeCell ref="H18:I18"/>
    <mergeCell ref="B19:C19"/>
    <mergeCell ref="D19:E19"/>
    <mergeCell ref="H10:I11"/>
    <mergeCell ref="A11:B11"/>
    <mergeCell ref="C11:D11"/>
    <mergeCell ref="A12:B12"/>
    <mergeCell ref="C12:D12"/>
    <mergeCell ref="G12:G13"/>
    <mergeCell ref="H12:I13"/>
    <mergeCell ref="A13:B13"/>
    <mergeCell ref="C13:D13"/>
    <mergeCell ref="R9:S10"/>
    <mergeCell ref="D1:I1"/>
    <mergeCell ref="D2:I2"/>
    <mergeCell ref="A4:I5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A10:B10"/>
    <mergeCell ref="C10:D10"/>
    <mergeCell ref="G10:G11"/>
  </mergeCells>
  <phoneticPr fontId="2" type="noConversion"/>
  <dataValidations count="9">
    <dataValidation type="list" allowBlank="1" showInputMessage="1" showErrorMessage="1" sqref="L19">
      <formula1>HBA_IB</formula1>
    </dataValidation>
    <dataValidation type="list" allowBlank="1" showInputMessage="1" showErrorMessage="1" sqref="S11">
      <formula1>RAID</formula1>
    </dataValidation>
    <dataValidation type="list" allowBlank="1" showInputMessage="1" showErrorMessage="1" sqref="L23">
      <formula1>워런티복제</formula1>
    </dataValidation>
    <dataValidation type="list" allowBlank="1" showInputMessage="1" showErrorMessage="1" sqref="L21">
      <formula1>PD워런티</formula1>
    </dataValidation>
    <dataValidation type="list" allowBlank="1" showInputMessage="1" showErrorMessage="1" sqref="L16:L17">
      <formula1>NIC</formula1>
    </dataValidation>
    <dataValidation type="list" allowBlank="1" showInputMessage="1" showErrorMessage="1" sqref="L13:L14">
      <formula1>디스크</formula1>
    </dataValidation>
    <dataValidation type="list" allowBlank="1" showInputMessage="1" showErrorMessage="1" sqref="L11">
      <formula1>메모리</formula1>
    </dataValidation>
    <dataValidation type="list" allowBlank="1" showInputMessage="1" showErrorMessage="1" sqref="L10">
      <formula1>PlugDISK</formula1>
    </dataValidation>
    <dataValidation type="list" allowBlank="1" showInputMessage="1" showErrorMessage="1" sqref="N5 O2">
      <formula1>견적담당자</formula1>
    </dataValidation>
  </dataValidations>
  <hyperlinks>
    <hyperlink ref="H9" r:id="rId1" display="gspark@gluesys.com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5" name="Button 8">
              <controlPr defaultSize="0" print="0" autoFill="0" autoPict="0" macro="[0]!CopyWorksheetToNewWorkbook">
                <anchor moveWithCells="1" sizeWithCells="1">
                  <from>
                    <xdr:col>15</xdr:col>
                    <xdr:colOff>9525</xdr:colOff>
                    <xdr:row>25</xdr:row>
                    <xdr:rowOff>161925</xdr:rowOff>
                  </from>
                  <to>
                    <xdr:col>16</xdr:col>
                    <xdr:colOff>28575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Button 9">
              <controlPr defaultSize="0" print="0" autoFill="0" autoPict="0" macro="[0]!수식제거">
                <anchor moveWithCells="1" sizeWithCells="1">
                  <from>
                    <xdr:col>15</xdr:col>
                    <xdr:colOff>9525</xdr:colOff>
                    <xdr:row>30</xdr:row>
                    <xdr:rowOff>114300</xdr:rowOff>
                  </from>
                  <to>
                    <xdr:col>16</xdr:col>
                    <xdr:colOff>28575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7" name="Button 10">
              <controlPr defaultSize="0" print="0" autoFill="0" autoPict="0" macro="[0]!del_erase">
                <anchor moveWithCells="1" sizeWithCells="1">
                  <from>
                    <xdr:col>15</xdr:col>
                    <xdr:colOff>0</xdr:colOff>
                    <xdr:row>35</xdr:row>
                    <xdr:rowOff>76200</xdr:rowOff>
                  </from>
                  <to>
                    <xdr:col>16</xdr:col>
                    <xdr:colOff>47625</xdr:colOff>
                    <xdr:row>41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54"/>
  <sheetViews>
    <sheetView workbookViewId="0">
      <selection activeCell="L23" sqref="L23"/>
    </sheetView>
  </sheetViews>
  <sheetFormatPr defaultColWidth="9" defaultRowHeight="16.5" x14ac:dyDescent="0.3"/>
  <cols>
    <col min="1" max="1" width="7.125" style="17" customWidth="1"/>
    <col min="2" max="2" width="3.625" style="17" customWidth="1"/>
    <col min="3" max="3" width="6.625" style="17" customWidth="1"/>
    <col min="4" max="4" width="12.375" style="17" customWidth="1"/>
    <col min="5" max="5" width="17.125" style="17" customWidth="1"/>
    <col min="6" max="6" width="3.625" style="17" customWidth="1"/>
    <col min="7" max="8" width="9.625" style="17" customWidth="1"/>
    <col min="9" max="9" width="10.125" style="17" customWidth="1"/>
    <col min="10" max="10" width="4.625" style="16" customWidth="1"/>
    <col min="11" max="11" width="10.625" style="16" customWidth="1"/>
    <col min="12" max="12" width="36.875" style="16" customWidth="1"/>
    <col min="13" max="13" width="9.125" style="16" customWidth="1"/>
    <col min="14" max="14" width="16.625" style="16" customWidth="1"/>
    <col min="15" max="15" width="13.625" style="16" customWidth="1"/>
    <col min="16" max="16" width="13.5" style="17" bestFit="1" customWidth="1"/>
    <col min="17" max="17" width="9.375" style="17" bestFit="1" customWidth="1"/>
    <col min="18" max="18" width="11.875" style="17" bestFit="1" customWidth="1"/>
    <col min="19" max="16384" width="9" style="17"/>
  </cols>
  <sheetData>
    <row r="1" spans="1:19" ht="13.5" customHeight="1" thickBot="1" x14ac:dyDescent="0.35">
      <c r="A1" s="15"/>
      <c r="B1" s="15"/>
      <c r="C1" s="15"/>
      <c r="D1" s="241" t="s">
        <v>61</v>
      </c>
      <c r="E1" s="241"/>
      <c r="F1" s="241"/>
      <c r="G1" s="241"/>
      <c r="H1" s="241"/>
      <c r="I1" s="241"/>
      <c r="K1" s="82"/>
      <c r="L1" s="82"/>
      <c r="M1" s="82"/>
      <c r="N1" s="82"/>
      <c r="O1" s="82"/>
    </row>
    <row r="2" spans="1:19" ht="13.5" customHeight="1" x14ac:dyDescent="0.3">
      <c r="A2" s="15"/>
      <c r="B2" s="15"/>
      <c r="C2" s="15"/>
      <c r="D2" s="241" t="s">
        <v>62</v>
      </c>
      <c r="E2" s="241"/>
      <c r="F2" s="241"/>
      <c r="G2" s="241"/>
      <c r="H2" s="241"/>
      <c r="I2" s="241"/>
      <c r="K2" s="18" t="s">
        <v>240</v>
      </c>
      <c r="L2" s="63" t="s">
        <v>411</v>
      </c>
      <c r="M2" s="82"/>
      <c r="N2" s="18" t="s">
        <v>2</v>
      </c>
      <c r="O2" s="63" t="s">
        <v>461</v>
      </c>
    </row>
    <row r="3" spans="1:19" ht="13.5" customHeight="1" thickBot="1" x14ac:dyDescent="0.35">
      <c r="A3" s="15"/>
      <c r="B3" s="15"/>
      <c r="C3" s="15"/>
      <c r="D3" s="15"/>
      <c r="E3" s="15"/>
      <c r="F3" s="15"/>
      <c r="G3" s="15"/>
      <c r="H3" s="15"/>
      <c r="I3" s="15"/>
      <c r="K3" s="19" t="s">
        <v>241</v>
      </c>
      <c r="L3" s="81" t="s">
        <v>412</v>
      </c>
      <c r="M3" s="82"/>
      <c r="N3" s="79" t="s">
        <v>204</v>
      </c>
      <c r="O3" s="98">
        <f ca="1">TODAY()</f>
        <v>44904</v>
      </c>
    </row>
    <row r="4" spans="1:19" ht="13.5" customHeight="1" thickBot="1" x14ac:dyDescent="0.35">
      <c r="A4" s="242" t="s">
        <v>63</v>
      </c>
      <c r="B4" s="242"/>
      <c r="C4" s="242"/>
      <c r="D4" s="242"/>
      <c r="E4" s="242"/>
      <c r="F4" s="242"/>
      <c r="G4" s="242"/>
      <c r="H4" s="242"/>
      <c r="I4" s="242"/>
      <c r="K4" s="19" t="s">
        <v>5</v>
      </c>
      <c r="L4" s="81" t="s">
        <v>266</v>
      </c>
      <c r="M4" s="82"/>
      <c r="N4" s="93" t="s">
        <v>242</v>
      </c>
      <c r="O4" s="94">
        <v>0</v>
      </c>
    </row>
    <row r="5" spans="1:19" ht="13.5" customHeight="1" thickBot="1" x14ac:dyDescent="0.35">
      <c r="A5" s="242"/>
      <c r="B5" s="242"/>
      <c r="C5" s="242"/>
      <c r="D5" s="242"/>
      <c r="E5" s="242"/>
      <c r="F5" s="242"/>
      <c r="G5" s="242"/>
      <c r="H5" s="242"/>
      <c r="I5" s="242"/>
      <c r="K5" s="20" t="s">
        <v>239</v>
      </c>
      <c r="L5" s="80" t="s">
        <v>413</v>
      </c>
      <c r="M5" s="17"/>
      <c r="N5" s="95"/>
      <c r="O5" s="95"/>
    </row>
    <row r="6" spans="1:19" ht="13.5" customHeight="1" x14ac:dyDescent="0.3">
      <c r="A6" s="15"/>
      <c r="B6" s="15"/>
      <c r="C6" s="15"/>
      <c r="D6" s="15"/>
      <c r="E6" s="15"/>
      <c r="F6" s="15"/>
      <c r="G6" s="15"/>
      <c r="H6" s="15"/>
      <c r="I6" s="15"/>
      <c r="K6" s="17"/>
      <c r="L6" s="17"/>
      <c r="M6" s="17"/>
      <c r="N6" s="95"/>
      <c r="O6" s="95"/>
    </row>
    <row r="7" spans="1:19" ht="13.5" customHeight="1" x14ac:dyDescent="0.3">
      <c r="A7" s="243" t="s">
        <v>64</v>
      </c>
      <c r="B7" s="243"/>
      <c r="C7" s="244" t="str">
        <f ca="1">K8</f>
        <v>GLS-2212090830-5371(G)</v>
      </c>
      <c r="D7" s="245"/>
      <c r="E7" s="15"/>
      <c r="F7" s="15"/>
      <c r="G7" s="22" t="s">
        <v>65</v>
      </c>
      <c r="H7" s="246" t="str">
        <f>O2</f>
        <v>이사 박 근 식</v>
      </c>
      <c r="I7" s="246"/>
      <c r="K7" s="92" t="s">
        <v>370</v>
      </c>
      <c r="L7" s="17"/>
      <c r="M7" s="17"/>
      <c r="N7" s="95"/>
      <c r="O7" s="95"/>
    </row>
    <row r="8" spans="1:19" ht="13.5" customHeight="1" thickBot="1" x14ac:dyDescent="0.35">
      <c r="A8" s="243" t="s">
        <v>66</v>
      </c>
      <c r="B8" s="243"/>
      <c r="C8" s="245" t="str">
        <f>L2 &amp; " 귀중"</f>
        <v>삼성전자 귀중</v>
      </c>
      <c r="D8" s="245"/>
      <c r="E8" s="15"/>
      <c r="F8" s="15"/>
      <c r="G8" s="22" t="s">
        <v>67</v>
      </c>
      <c r="H8" s="246" t="str">
        <f>IFERROR(VLOOKUP(H7,견적담당자INFO,2,0),"")</f>
        <v>010-5669-3172</v>
      </c>
      <c r="I8" s="246"/>
      <c r="K8" s="100" t="str">
        <f ca="1">"GLS-" &amp; TEXT(O3,"yymmdd") &amp; "0" &amp; N24*100 &amp; O4 &amp; "-" &amp; VLOOKUP(H7,견적담당자INFO,4,0) &amp; "(G)"</f>
        <v>GLS-2212090830-5371(G)</v>
      </c>
      <c r="L8" s="99"/>
      <c r="M8" s="21"/>
      <c r="N8" s="21"/>
    </row>
    <row r="9" spans="1:19" ht="13.5" customHeight="1" x14ac:dyDescent="0.3">
      <c r="A9" s="243" t="s">
        <v>68</v>
      </c>
      <c r="B9" s="243"/>
      <c r="C9" s="245" t="str">
        <f>L3 &amp; "님"</f>
        <v>이재용 대표님</v>
      </c>
      <c r="D9" s="245"/>
      <c r="E9" s="15"/>
      <c r="F9" s="15"/>
      <c r="G9" s="22" t="s">
        <v>69</v>
      </c>
      <c r="H9" s="247" t="str">
        <f>IFERROR(VLOOKUP(H7,견적담당자INFO,3,0),"")</f>
        <v>gspark@gluesys.com</v>
      </c>
      <c r="I9" s="246"/>
      <c r="K9" s="101"/>
      <c r="L9" s="65" t="s">
        <v>332</v>
      </c>
      <c r="M9" s="65" t="s">
        <v>121</v>
      </c>
      <c r="N9" s="65" t="s">
        <v>424</v>
      </c>
      <c r="O9" s="105" t="s">
        <v>423</v>
      </c>
      <c r="P9" s="66" t="s">
        <v>217</v>
      </c>
      <c r="R9" s="21"/>
      <c r="S9" s="62"/>
    </row>
    <row r="10" spans="1:19" ht="13.5" customHeight="1" x14ac:dyDescent="0.3">
      <c r="A10" s="248" t="s">
        <v>70</v>
      </c>
      <c r="B10" s="249"/>
      <c r="C10" s="250" t="str">
        <f>L4</f>
        <v>010-1234-5678</v>
      </c>
      <c r="D10" s="251"/>
      <c r="E10" s="15"/>
      <c r="F10" s="15"/>
      <c r="G10" s="252" t="s">
        <v>71</v>
      </c>
      <c r="H10" s="254" t="s">
        <v>72</v>
      </c>
      <c r="I10" s="254"/>
      <c r="K10" s="67" t="s">
        <v>117</v>
      </c>
      <c r="L10" s="109" t="s">
        <v>485</v>
      </c>
      <c r="M10" s="110"/>
      <c r="N10" s="102" t="str">
        <f>IFERROR(INDEX('AS5 DB'!$G$3:$G$12,MATCH(L10,AS5일체형,0))*M10,"-")</f>
        <v>-</v>
      </c>
      <c r="O10" s="103" t="str">
        <f>IFERROR(N10*(1-$N$24),"-")</f>
        <v>-</v>
      </c>
      <c r="P10" s="85" t="str">
        <f>IFERROR(INDEX('AS5 DB'!$D$3:$D$12,MATCH(L10,AS5일체형,0)),"-")</f>
        <v>-</v>
      </c>
      <c r="R10" s="21"/>
      <c r="S10" s="62"/>
    </row>
    <row r="11" spans="1:19" ht="13.5" customHeight="1" x14ac:dyDescent="0.3">
      <c r="A11" s="243" t="s">
        <v>73</v>
      </c>
      <c r="B11" s="243"/>
      <c r="C11" s="256">
        <f ca="1">O3</f>
        <v>44904</v>
      </c>
      <c r="D11" s="256"/>
      <c r="E11" s="15"/>
      <c r="F11" s="15"/>
      <c r="G11" s="253"/>
      <c r="H11" s="255"/>
      <c r="I11" s="255"/>
      <c r="K11" s="67" t="s">
        <v>126</v>
      </c>
      <c r="L11" s="109"/>
      <c r="M11" s="110"/>
      <c r="N11" s="102" t="str">
        <f>IFERROR(INDEX('AS5 DB'!$G$29:$G$31,MATCH(L11,메모리,0))*M11,"-")</f>
        <v>-</v>
      </c>
      <c r="O11" s="103" t="str">
        <f>IFERROR(N11*(1-$N$24),"-")</f>
        <v>-</v>
      </c>
      <c r="P11" s="86" t="s">
        <v>238</v>
      </c>
      <c r="Q11" s="108"/>
      <c r="R11" s="21"/>
      <c r="S11" s="62"/>
    </row>
    <row r="12" spans="1:19" ht="13.5" customHeight="1" x14ac:dyDescent="0.3">
      <c r="A12" s="243" t="s">
        <v>74</v>
      </c>
      <c r="B12" s="243"/>
      <c r="C12" s="256">
        <f ca="1">IFERROR(C11+15,"")</f>
        <v>44919</v>
      </c>
      <c r="D12" s="245"/>
      <c r="E12" s="15"/>
      <c r="F12" s="15"/>
      <c r="G12" s="252" t="s">
        <v>75</v>
      </c>
      <c r="H12" s="257" t="s">
        <v>76</v>
      </c>
      <c r="I12" s="258"/>
      <c r="K12" s="71"/>
      <c r="L12" s="72"/>
      <c r="M12" s="70"/>
      <c r="N12" s="83"/>
      <c r="O12" s="104"/>
      <c r="P12" s="106"/>
      <c r="R12" s="16"/>
      <c r="S12" s="64"/>
    </row>
    <row r="13" spans="1:19" ht="13.5" customHeight="1" x14ac:dyDescent="0.3">
      <c r="A13" s="243" t="s">
        <v>77</v>
      </c>
      <c r="B13" s="243"/>
      <c r="C13" s="245" t="s">
        <v>111</v>
      </c>
      <c r="D13" s="245"/>
      <c r="E13" s="15"/>
      <c r="F13" s="15"/>
      <c r="G13" s="253"/>
      <c r="H13" s="259"/>
      <c r="I13" s="260"/>
      <c r="K13" s="67" t="s">
        <v>124</v>
      </c>
      <c r="L13" s="109"/>
      <c r="M13" s="110"/>
      <c r="N13" s="102" t="str">
        <f>IFERROR(INDEX('AS5 DB'!$G$67:$G$71,MATCH(L13,NIC,0))*M13,"-")</f>
        <v>-</v>
      </c>
      <c r="O13" s="103" t="str">
        <f>IFERROR(N13*(1-$N$24),"-")</f>
        <v>-</v>
      </c>
      <c r="P13" s="87" t="str">
        <f>IFERROR(INDEX('AS5 DB'!$D$67:$D$71,MATCH(L13,NIC,0)),"-")</f>
        <v>-</v>
      </c>
      <c r="R13" s="16"/>
      <c r="S13" s="64"/>
    </row>
    <row r="14" spans="1:19" ht="13.5" customHeight="1" x14ac:dyDescent="0.3">
      <c r="A14" s="23"/>
      <c r="B14" s="23"/>
      <c r="C14" s="24"/>
      <c r="D14" s="24"/>
      <c r="E14" s="15"/>
      <c r="F14" s="15"/>
      <c r="G14" s="23"/>
      <c r="H14" s="25"/>
      <c r="I14" s="25"/>
      <c r="K14" s="67" t="s">
        <v>125</v>
      </c>
      <c r="L14" s="109"/>
      <c r="M14" s="110"/>
      <c r="N14" s="102" t="str">
        <f>IFERROR(INDEX('AS5 DB'!$G$67:$G$71,MATCH(L14,NIC,0))*M14,"-")</f>
        <v>-</v>
      </c>
      <c r="O14" s="103" t="str">
        <f>IFERROR(N14*(1-$N$24),"-")</f>
        <v>-</v>
      </c>
      <c r="P14" s="87" t="str">
        <f>IFERROR(INDEX('AS5 DB'!$D$67:$D$71,MATCH(L14,NIC,0)),"-")</f>
        <v>-</v>
      </c>
    </row>
    <row r="15" spans="1:19" ht="13.5" customHeight="1" x14ac:dyDescent="0.3">
      <c r="A15" s="23" t="s">
        <v>114</v>
      </c>
      <c r="B15" s="24" t="s">
        <v>78</v>
      </c>
      <c r="C15" s="261" t="str">
        <f>"일금"&amp;IF(MID(H48,1,1)="1",NUMBERSTRING(H48,1),NUMBERSTRING(H48,1))&amp;"원정(VAT포함)"</f>
        <v>일금영원정(VAT포함)</v>
      </c>
      <c r="D15" s="261"/>
      <c r="E15" s="261"/>
      <c r="F15" s="26"/>
      <c r="G15" s="15"/>
      <c r="H15" s="15"/>
      <c r="I15" s="15"/>
      <c r="K15" s="71"/>
      <c r="L15" s="72"/>
      <c r="M15" s="70"/>
      <c r="N15" s="83"/>
      <c r="O15" s="104"/>
      <c r="P15" s="106"/>
    </row>
    <row r="16" spans="1:19" ht="13.5" customHeight="1" x14ac:dyDescent="0.3">
      <c r="A16" s="23" t="s">
        <v>79</v>
      </c>
      <c r="B16" s="24" t="s">
        <v>78</v>
      </c>
      <c r="C16" s="241" t="str">
        <f>IF(L5="","건 명을 입력하세요",L5)</f>
        <v>삼성전자 NAS 제안 건</v>
      </c>
      <c r="D16" s="241"/>
      <c r="E16" s="241"/>
      <c r="F16" s="15"/>
      <c r="G16" s="15"/>
      <c r="H16" s="15"/>
      <c r="I16" s="15"/>
      <c r="K16" s="67" t="s">
        <v>331</v>
      </c>
      <c r="L16" s="109"/>
      <c r="M16" s="110"/>
      <c r="N16" s="102" t="str">
        <f>IFERROR(INDEX('AS5 DB'!$G$72:$G$78,MATCH(L16,HBA_IB,0))*M16,"-")</f>
        <v>-</v>
      </c>
      <c r="O16" s="103" t="str">
        <f>IFERROR(N16*(1-$N$24),"-")</f>
        <v>-</v>
      </c>
      <c r="P16" s="87" t="str">
        <f>IFERROR(INDEX('AS5 DB'!$D$72:$D$78,MATCH(L16,HBA_IB,0)),"-")</f>
        <v>-</v>
      </c>
      <c r="R16" s="107"/>
    </row>
    <row r="17" spans="1:18" ht="13.5" customHeight="1" x14ac:dyDescent="0.3">
      <c r="A17" s="23"/>
      <c r="B17" s="24"/>
      <c r="C17" s="24"/>
      <c r="D17" s="24"/>
      <c r="E17" s="15"/>
      <c r="F17" s="15"/>
      <c r="G17" s="15"/>
      <c r="H17" s="15"/>
      <c r="I17" s="15"/>
      <c r="K17" s="67" t="s">
        <v>331</v>
      </c>
      <c r="L17" s="109" t="s">
        <v>437</v>
      </c>
      <c r="M17" s="110">
        <v>1</v>
      </c>
      <c r="N17" s="102">
        <f>IFERROR(INDEX('AS5 DB'!$G$72:$G$78,MATCH(L17,HBA_IB,0))*M17,"-")</f>
        <v>13000000</v>
      </c>
      <c r="O17" s="103">
        <f>IFERROR(N17*(1-$N$24),"-")</f>
        <v>2210000.0000000005</v>
      </c>
      <c r="P17" s="87" t="str">
        <f>IFERROR(INDEX('AS5 DB'!$D$72:$D$78,MATCH(L17,HBA_IB,0)),"-")</f>
        <v>HB-2016G01</v>
      </c>
    </row>
    <row r="18" spans="1:18" ht="13.5" customHeight="1" x14ac:dyDescent="0.3">
      <c r="A18" s="262" t="s">
        <v>80</v>
      </c>
      <c r="B18" s="262"/>
      <c r="C18" s="262"/>
      <c r="D18" s="262"/>
      <c r="E18" s="262"/>
      <c r="F18" s="15"/>
      <c r="G18" s="15"/>
      <c r="H18" s="263" t="s">
        <v>81</v>
      </c>
      <c r="I18" s="263"/>
      <c r="K18" s="71"/>
      <c r="L18" s="72"/>
      <c r="M18" s="70"/>
      <c r="N18" s="83"/>
      <c r="O18" s="104"/>
      <c r="P18" s="106"/>
    </row>
    <row r="19" spans="1:18" ht="13.5" customHeight="1" x14ac:dyDescent="0.3">
      <c r="A19" s="27" t="s">
        <v>82</v>
      </c>
      <c r="B19" s="264" t="s">
        <v>83</v>
      </c>
      <c r="C19" s="264"/>
      <c r="D19" s="264" t="s">
        <v>84</v>
      </c>
      <c r="E19" s="264"/>
      <c r="F19" s="28" t="s">
        <v>85</v>
      </c>
      <c r="G19" s="27" t="s">
        <v>86</v>
      </c>
      <c r="H19" s="27" t="s">
        <v>87</v>
      </c>
      <c r="I19" s="27" t="s">
        <v>88</v>
      </c>
      <c r="K19" s="67" t="s">
        <v>209</v>
      </c>
      <c r="L19" s="109"/>
      <c r="M19" s="110"/>
      <c r="N19" s="102" t="str">
        <f>IFERROR(INDEX('AS5 DB'!$G$81:$G$89,MATCH(L19,AS5워런티,0))*M19,"-")</f>
        <v>-</v>
      </c>
      <c r="O19" s="103" t="str">
        <f>IFERROR(N19*(1-$N$24),"-")</f>
        <v>-</v>
      </c>
      <c r="P19" s="84" t="str">
        <f>IFERROR(INDEX('AS5 DB'!$D$81:$D$89,MATCH(L19,AS5워런티,0)),"-")</f>
        <v>-</v>
      </c>
      <c r="R19" s="97"/>
    </row>
    <row r="20" spans="1:18" ht="13.5" customHeight="1" x14ac:dyDescent="0.3">
      <c r="A20" s="269" t="str">
        <f>"AnyStor NAS Gateway : " &amp; L10</f>
        <v>AnyStor NAS Gateway : AnyStor 8210</v>
      </c>
      <c r="B20" s="269"/>
      <c r="C20" s="269"/>
      <c r="D20" s="269"/>
      <c r="E20" s="269"/>
      <c r="F20" s="269"/>
      <c r="G20" s="269"/>
      <c r="H20" s="269"/>
      <c r="I20" s="269"/>
      <c r="K20" s="170"/>
      <c r="L20" s="171"/>
      <c r="M20" s="70"/>
      <c r="N20" s="172"/>
      <c r="O20" s="173"/>
      <c r="P20" s="174"/>
    </row>
    <row r="21" spans="1:18" ht="13.5" customHeight="1" x14ac:dyDescent="0.3">
      <c r="A21" s="29">
        <v>1</v>
      </c>
      <c r="B21" s="304" t="s">
        <v>89</v>
      </c>
      <c r="C21" s="299"/>
      <c r="D21" s="272" t="s">
        <v>299</v>
      </c>
      <c r="E21" s="273" t="s">
        <v>299</v>
      </c>
      <c r="F21" s="30">
        <f>M10</f>
        <v>0</v>
      </c>
      <c r="G21" s="31">
        <f>N25</f>
        <v>38000000</v>
      </c>
      <c r="H21" s="32">
        <f>O25</f>
        <v>6460000.0000000019</v>
      </c>
      <c r="I21" s="30">
        <f>F21*H21</f>
        <v>0</v>
      </c>
      <c r="K21" s="168" t="s">
        <v>434</v>
      </c>
      <c r="L21" s="175" t="s">
        <v>435</v>
      </c>
      <c r="M21" s="110">
        <v>1</v>
      </c>
      <c r="N21" s="103">
        <f>IFERROR(INDEX('AS5 DB'!$G$22:$G$24,MATCH(L21,GWCPU,0))*M21,"-")</f>
        <v>25000000</v>
      </c>
      <c r="O21" s="103">
        <f>IFERROR(N21*(1-$N$24),"-")</f>
        <v>4250000.0000000009</v>
      </c>
      <c r="P21" s="84" t="str">
        <f>IFERROR(INDEX('AS5 DB'!$D$22:$D$24,MATCH(L21,GWCPU,0)),"-")</f>
        <v>Platinum</v>
      </c>
    </row>
    <row r="22" spans="1:18" ht="13.5" customHeight="1" x14ac:dyDescent="0.3">
      <c r="A22" s="33"/>
      <c r="B22" s="265"/>
      <c r="C22" s="266"/>
      <c r="D22" s="267" t="s">
        <v>267</v>
      </c>
      <c r="E22" s="268" t="s">
        <v>267</v>
      </c>
      <c r="F22" s="34"/>
      <c r="G22" s="35"/>
      <c r="H22" s="36"/>
      <c r="I22" s="34"/>
      <c r="K22" s="71"/>
      <c r="L22" s="72"/>
      <c r="M22" s="70"/>
      <c r="N22" s="83"/>
      <c r="O22" s="104"/>
      <c r="P22" s="106"/>
    </row>
    <row r="23" spans="1:18" ht="13.5" customHeight="1" thickBot="1" x14ac:dyDescent="0.35">
      <c r="A23" s="33"/>
      <c r="B23" s="265"/>
      <c r="C23" s="266"/>
      <c r="D23" s="276" t="str">
        <f>IFERROR(MID(L11,1,2) * M11 &amp; "GB Memory", "메모리 입력해주세요")</f>
        <v>메모리 입력해주세요</v>
      </c>
      <c r="E23" s="277"/>
      <c r="F23" s="34"/>
      <c r="G23" s="35"/>
      <c r="H23" s="36"/>
      <c r="I23" s="34"/>
      <c r="K23" s="67" t="s">
        <v>339</v>
      </c>
      <c r="L23" s="109" t="s">
        <v>494</v>
      </c>
      <c r="M23" s="110"/>
      <c r="N23" s="102" t="str">
        <f>IFERROR(INDEX('AS5 DB'!$G$80:$G$80,MATCH(L23,워런티복제,0))*M23,"-")</f>
        <v>-</v>
      </c>
      <c r="O23" s="103" t="str">
        <f>IFERROR(N23*(1-$N$24),"-")</f>
        <v>-</v>
      </c>
      <c r="P23" s="84" t="str">
        <f>IFERROR(INDEX('AS5 DB'!$D$79:$D$79,MATCH(L23,워런티복제,0)),"-")</f>
        <v>-</v>
      </c>
    </row>
    <row r="24" spans="1:18" ht="13.5" customHeight="1" x14ac:dyDescent="0.3">
      <c r="A24" s="33"/>
      <c r="B24" s="265"/>
      <c r="C24" s="266"/>
      <c r="D24" s="267" t="s">
        <v>300</v>
      </c>
      <c r="E24" s="268" t="s">
        <v>300</v>
      </c>
      <c r="F24" s="34"/>
      <c r="G24" s="35"/>
      <c r="H24" s="36"/>
      <c r="I24" s="34"/>
      <c r="K24" s="73"/>
      <c r="L24" s="74"/>
      <c r="M24" s="68" t="s">
        <v>215</v>
      </c>
      <c r="N24" s="164">
        <v>0.83</v>
      </c>
      <c r="O24" s="90"/>
      <c r="P24" s="77"/>
    </row>
    <row r="25" spans="1:18" ht="13.5" customHeight="1" thickBot="1" x14ac:dyDescent="0.35">
      <c r="A25" s="33"/>
      <c r="B25" s="265"/>
      <c r="C25" s="266"/>
      <c r="D25" s="267" t="s">
        <v>302</v>
      </c>
      <c r="E25" s="268" t="s">
        <v>301</v>
      </c>
      <c r="F25" s="34"/>
      <c r="G25" s="35"/>
      <c r="H25" s="36"/>
      <c r="I25" s="34"/>
      <c r="K25" s="75"/>
      <c r="L25" s="76"/>
      <c r="M25" s="69" t="s">
        <v>210</v>
      </c>
      <c r="N25" s="88">
        <f>SUM(N10:N23)</f>
        <v>38000000</v>
      </c>
      <c r="O25" s="89">
        <f>SUM(O10:O23)</f>
        <v>6460000.0000000019</v>
      </c>
      <c r="P25" s="78"/>
    </row>
    <row r="26" spans="1:18" ht="13.5" customHeight="1" thickBot="1" x14ac:dyDescent="0.35">
      <c r="A26" s="33"/>
      <c r="B26" s="265"/>
      <c r="C26" s="266"/>
      <c r="D26" s="267" t="s">
        <v>90</v>
      </c>
      <c r="E26" s="268"/>
      <c r="F26" s="34"/>
      <c r="G26" s="35"/>
      <c r="H26" s="36"/>
      <c r="I26" s="34"/>
      <c r="K26" s="21"/>
      <c r="L26" s="21"/>
      <c r="M26" s="191" t="s">
        <v>459</v>
      </c>
      <c r="N26" s="192"/>
      <c r="O26" s="193">
        <f>ROUNDDOWN(O25,-4)</f>
        <v>6460000</v>
      </c>
    </row>
    <row r="27" spans="1:18" ht="13.5" customHeight="1" x14ac:dyDescent="0.3">
      <c r="A27" s="33"/>
      <c r="B27" s="265"/>
      <c r="C27" s="266"/>
      <c r="D27" s="267" t="s">
        <v>303</v>
      </c>
      <c r="E27" s="268"/>
      <c r="F27" s="34"/>
      <c r="G27" s="35"/>
      <c r="H27" s="36"/>
      <c r="I27" s="34"/>
      <c r="K27" s="113" t="s">
        <v>273</v>
      </c>
      <c r="L27" s="21"/>
      <c r="M27" s="21"/>
      <c r="N27" s="96"/>
      <c r="O27" s="21"/>
    </row>
    <row r="28" spans="1:18" ht="13.5" customHeight="1" x14ac:dyDescent="0.3">
      <c r="A28" s="33"/>
      <c r="B28" s="37"/>
      <c r="C28" s="38"/>
      <c r="D28" s="267" t="s">
        <v>112</v>
      </c>
      <c r="E28" s="268"/>
      <c r="F28" s="34"/>
      <c r="G28" s="35"/>
      <c r="H28" s="36"/>
      <c r="I28" s="34"/>
      <c r="K28" s="113" t="s">
        <v>334</v>
      </c>
      <c r="L28" s="21"/>
      <c r="M28" s="21"/>
      <c r="N28" s="17"/>
      <c r="O28" s="17"/>
    </row>
    <row r="29" spans="1:18" ht="13.5" customHeight="1" x14ac:dyDescent="0.3">
      <c r="A29" s="39"/>
      <c r="B29" s="40"/>
      <c r="C29" s="41"/>
      <c r="D29" s="42"/>
      <c r="E29" s="43"/>
      <c r="F29" s="44"/>
      <c r="G29" s="45"/>
      <c r="H29" s="46"/>
      <c r="I29" s="44"/>
      <c r="K29" s="16" t="s">
        <v>277</v>
      </c>
      <c r="L29" s="17"/>
      <c r="M29" s="21"/>
      <c r="N29" s="17"/>
      <c r="O29" s="17"/>
    </row>
    <row r="30" spans="1:18" ht="13.5" customHeight="1" x14ac:dyDescent="0.3">
      <c r="A30" s="33"/>
      <c r="B30" s="265" t="s">
        <v>91</v>
      </c>
      <c r="C30" s="266"/>
      <c r="D30" s="278" t="s">
        <v>451</v>
      </c>
      <c r="E30" s="279"/>
      <c r="F30" s="34"/>
      <c r="G30" s="35"/>
      <c r="H30" s="36"/>
      <c r="I30" s="34"/>
      <c r="K30" s="21" t="s">
        <v>270</v>
      </c>
      <c r="L30" s="17"/>
      <c r="M30" s="21"/>
      <c r="N30" s="17"/>
      <c r="O30" s="17"/>
    </row>
    <row r="31" spans="1:18" ht="13.5" customHeight="1" x14ac:dyDescent="0.3">
      <c r="A31" s="33"/>
      <c r="B31" s="265"/>
      <c r="C31" s="266"/>
      <c r="D31" s="267" t="s">
        <v>92</v>
      </c>
      <c r="E31" s="268"/>
      <c r="F31" s="34"/>
      <c r="G31" s="35"/>
      <c r="H31" s="47"/>
      <c r="I31" s="34"/>
      <c r="K31" s="21" t="s">
        <v>271</v>
      </c>
      <c r="L31" s="17"/>
      <c r="M31" s="21"/>
      <c r="N31" s="17"/>
      <c r="O31" s="17"/>
    </row>
    <row r="32" spans="1:18" ht="13.5" customHeight="1" x14ac:dyDescent="0.3">
      <c r="A32" s="33"/>
      <c r="B32" s="274"/>
      <c r="C32" s="275"/>
      <c r="D32" s="278" t="s">
        <v>93</v>
      </c>
      <c r="E32" s="279"/>
      <c r="F32" s="34"/>
      <c r="G32" s="35"/>
      <c r="H32" s="36"/>
      <c r="I32" s="34"/>
      <c r="K32" s="111" t="s">
        <v>272</v>
      </c>
      <c r="L32" s="17"/>
      <c r="M32" s="21"/>
      <c r="N32" s="17"/>
      <c r="O32" s="17"/>
    </row>
    <row r="33" spans="1:15" ht="13.5" customHeight="1" x14ac:dyDescent="0.3">
      <c r="A33" s="33"/>
      <c r="B33" s="274"/>
      <c r="C33" s="275"/>
      <c r="D33" s="267" t="s">
        <v>94</v>
      </c>
      <c r="E33" s="268"/>
      <c r="F33" s="34"/>
      <c r="G33" s="35"/>
      <c r="H33" s="36"/>
      <c r="I33" s="34"/>
      <c r="K33" s="21" t="s">
        <v>278</v>
      </c>
      <c r="L33" s="112"/>
      <c r="M33" s="112"/>
      <c r="N33" s="112"/>
      <c r="O33" s="112"/>
    </row>
    <row r="34" spans="1:15" ht="13.5" customHeight="1" x14ac:dyDescent="0.3">
      <c r="A34" s="33"/>
      <c r="B34" s="274"/>
      <c r="C34" s="275"/>
      <c r="D34" s="278" t="s">
        <v>95</v>
      </c>
      <c r="E34" s="279"/>
      <c r="F34" s="34"/>
      <c r="G34" s="35"/>
      <c r="H34" s="36"/>
      <c r="I34" s="34"/>
      <c r="K34" s="301" t="s">
        <v>275</v>
      </c>
      <c r="L34" s="301"/>
      <c r="M34" s="301"/>
      <c r="N34" s="301"/>
      <c r="O34" s="301"/>
    </row>
    <row r="35" spans="1:15" ht="13.5" customHeight="1" x14ac:dyDescent="0.3">
      <c r="A35" s="48"/>
      <c r="B35" s="49"/>
      <c r="C35" s="50"/>
      <c r="D35" s="267" t="s">
        <v>96</v>
      </c>
      <c r="E35" s="268"/>
      <c r="F35" s="34"/>
      <c r="G35" s="35"/>
      <c r="H35" s="36"/>
      <c r="I35" s="34"/>
      <c r="K35" s="16" t="s">
        <v>276</v>
      </c>
      <c r="L35" s="17"/>
      <c r="M35" s="21"/>
      <c r="N35" s="21"/>
      <c r="O35" s="21"/>
    </row>
    <row r="36" spans="1:15" ht="27" customHeight="1" x14ac:dyDescent="0.3">
      <c r="A36" s="51"/>
      <c r="B36" s="274"/>
      <c r="C36" s="275"/>
      <c r="D36" s="267" t="s">
        <v>97</v>
      </c>
      <c r="E36" s="268"/>
      <c r="F36" s="34"/>
      <c r="G36" s="35"/>
      <c r="H36" s="36"/>
      <c r="I36" s="34"/>
      <c r="K36" s="17"/>
      <c r="L36" s="17"/>
      <c r="M36" s="21"/>
      <c r="N36" s="21"/>
      <c r="O36" s="21"/>
    </row>
    <row r="37" spans="1:15" ht="13.5" customHeight="1" x14ac:dyDescent="0.3">
      <c r="A37" s="52"/>
      <c r="B37" s="274"/>
      <c r="C37" s="275"/>
      <c r="D37" s="267" t="s">
        <v>98</v>
      </c>
      <c r="E37" s="268"/>
      <c r="F37" s="34"/>
      <c r="G37" s="35"/>
      <c r="H37" s="36"/>
      <c r="I37" s="34"/>
      <c r="K37" s="21"/>
      <c r="L37" s="17"/>
      <c r="M37" s="17"/>
      <c r="N37" s="21"/>
      <c r="O37" s="21"/>
    </row>
    <row r="38" spans="1:15" ht="13.5" customHeight="1" x14ac:dyDescent="0.3">
      <c r="A38" s="52"/>
      <c r="B38" s="274"/>
      <c r="C38" s="275"/>
      <c r="D38" s="267" t="s">
        <v>99</v>
      </c>
      <c r="E38" s="268"/>
      <c r="F38" s="34"/>
      <c r="G38" s="35"/>
      <c r="H38" s="36"/>
      <c r="I38" s="34"/>
      <c r="K38" s="21" t="s">
        <v>333</v>
      </c>
      <c r="L38" s="17"/>
      <c r="M38" s="21"/>
      <c r="N38" s="21"/>
      <c r="O38" s="21"/>
    </row>
    <row r="39" spans="1:15" ht="13.5" customHeight="1" x14ac:dyDescent="0.3">
      <c r="A39" s="52"/>
      <c r="B39" s="274"/>
      <c r="C39" s="275"/>
      <c r="D39" s="267" t="s">
        <v>100</v>
      </c>
      <c r="E39" s="268"/>
      <c r="F39" s="34"/>
      <c r="G39" s="35"/>
      <c r="H39" s="36"/>
      <c r="I39" s="34"/>
      <c r="L39" s="17"/>
      <c r="M39" s="21"/>
      <c r="N39" s="21"/>
      <c r="O39" s="21"/>
    </row>
    <row r="40" spans="1:15" ht="13.5" customHeight="1" x14ac:dyDescent="0.3">
      <c r="A40" s="52"/>
      <c r="B40" s="49"/>
      <c r="C40" s="50"/>
      <c r="D40" s="267" t="s">
        <v>101</v>
      </c>
      <c r="E40" s="268"/>
      <c r="F40" s="34"/>
      <c r="G40" s="35"/>
      <c r="H40" s="36"/>
      <c r="I40" s="34"/>
      <c r="K40" s="21"/>
      <c r="L40" s="17"/>
      <c r="M40" s="21"/>
      <c r="N40" s="21"/>
      <c r="O40" s="21"/>
    </row>
    <row r="41" spans="1:15" ht="13.5" customHeight="1" x14ac:dyDescent="0.3">
      <c r="A41" s="39"/>
      <c r="B41" s="291"/>
      <c r="C41" s="292"/>
      <c r="D41" s="289"/>
      <c r="E41" s="290"/>
      <c r="F41" s="44"/>
      <c r="G41" s="45"/>
      <c r="H41" s="46"/>
      <c r="I41" s="44"/>
      <c r="K41" s="17"/>
      <c r="L41" s="17"/>
      <c r="M41" s="21"/>
      <c r="N41" s="21"/>
      <c r="O41" s="21"/>
    </row>
    <row r="42" spans="1:15" ht="13.5" customHeight="1" x14ac:dyDescent="0.3">
      <c r="A42" s="48">
        <v>2</v>
      </c>
      <c r="B42" s="274" t="str">
        <f>P13</f>
        <v>-</v>
      </c>
      <c r="C42" s="275"/>
      <c r="D42" s="276">
        <f>L13</f>
        <v>0</v>
      </c>
      <c r="E42" s="277"/>
      <c r="F42" s="34">
        <f>M13</f>
        <v>0</v>
      </c>
      <c r="G42" s="35"/>
      <c r="H42" s="36"/>
      <c r="I42" s="34"/>
      <c r="K42" s="130"/>
      <c r="L42" s="130"/>
    </row>
    <row r="43" spans="1:15" ht="13.5" customHeight="1" x14ac:dyDescent="0.3">
      <c r="A43" s="48">
        <v>3</v>
      </c>
      <c r="B43" s="296" t="str">
        <f>P19</f>
        <v>-</v>
      </c>
      <c r="C43" s="275"/>
      <c r="D43" s="276">
        <f>L19</f>
        <v>0</v>
      </c>
      <c r="E43" s="277"/>
      <c r="F43" s="34">
        <f>M19</f>
        <v>0</v>
      </c>
      <c r="G43" s="35"/>
      <c r="H43" s="36"/>
      <c r="I43" s="34"/>
      <c r="K43" s="130"/>
      <c r="L43" s="131"/>
    </row>
    <row r="44" spans="1:15" ht="13.5" customHeight="1" x14ac:dyDescent="0.3">
      <c r="A44" s="48">
        <v>4</v>
      </c>
      <c r="B44" s="296"/>
      <c r="C44" s="275"/>
      <c r="D44" s="276"/>
      <c r="E44" s="277"/>
      <c r="F44" s="34"/>
      <c r="G44" s="35"/>
      <c r="H44" s="36"/>
      <c r="I44" s="34"/>
      <c r="K44" s="130"/>
      <c r="L44" s="131"/>
    </row>
    <row r="45" spans="1:15" ht="13.5" customHeight="1" x14ac:dyDescent="0.3">
      <c r="A45" s="48">
        <v>5</v>
      </c>
      <c r="B45" s="296"/>
      <c r="C45" s="275"/>
      <c r="D45" s="276"/>
      <c r="E45" s="277"/>
      <c r="F45" s="34"/>
      <c r="G45" s="35"/>
      <c r="H45" s="36"/>
      <c r="I45" s="34"/>
      <c r="K45" s="130"/>
      <c r="L45" s="131"/>
    </row>
    <row r="46" spans="1:15" ht="13.5" customHeight="1" x14ac:dyDescent="0.3">
      <c r="A46" s="53" t="s">
        <v>105</v>
      </c>
      <c r="B46" s="54"/>
      <c r="C46" s="54"/>
      <c r="D46" s="54"/>
      <c r="E46" s="54"/>
      <c r="F46" s="55"/>
      <c r="G46" s="56" t="s">
        <v>106</v>
      </c>
      <c r="H46" s="282">
        <f>SUM(I21:I43)</f>
        <v>0</v>
      </c>
      <c r="I46" s="283"/>
      <c r="K46" s="130"/>
      <c r="L46" s="131"/>
    </row>
    <row r="47" spans="1:15" ht="13.5" customHeight="1" x14ac:dyDescent="0.3">
      <c r="A47" s="57"/>
      <c r="B47" s="15"/>
      <c r="C47" s="15"/>
      <c r="D47" s="15"/>
      <c r="E47" s="15"/>
      <c r="F47" s="58"/>
      <c r="G47" s="56" t="s">
        <v>107</v>
      </c>
      <c r="H47" s="282">
        <f>H46/10</f>
        <v>0</v>
      </c>
      <c r="I47" s="283"/>
      <c r="K47" s="131"/>
      <c r="L47" s="131"/>
    </row>
    <row r="48" spans="1:15" ht="13.5" customHeight="1" x14ac:dyDescent="0.3">
      <c r="A48" s="59"/>
      <c r="B48" s="60"/>
      <c r="C48" s="60"/>
      <c r="D48" s="60"/>
      <c r="E48" s="60"/>
      <c r="F48" s="61"/>
      <c r="G48" s="56" t="s">
        <v>108</v>
      </c>
      <c r="H48" s="282">
        <f>SUM(H46:I47)</f>
        <v>0</v>
      </c>
      <c r="I48" s="283"/>
      <c r="K48" s="131"/>
      <c r="L48" s="131"/>
    </row>
    <row r="49" spans="1:12" ht="13.5" customHeight="1" x14ac:dyDescent="0.3">
      <c r="A49" s="284" t="s">
        <v>109</v>
      </c>
      <c r="B49" s="285"/>
      <c r="C49" s="285"/>
      <c r="D49" s="285"/>
      <c r="E49" s="285"/>
      <c r="F49" s="285"/>
      <c r="G49" s="285"/>
      <c r="H49" s="285"/>
      <c r="I49" s="286"/>
      <c r="K49" s="131"/>
      <c r="L49" s="131"/>
    </row>
    <row r="50" spans="1:12" ht="13.5" customHeight="1" x14ac:dyDescent="0.3">
      <c r="A50" s="287" t="str">
        <f>"1. 무상유지보수 기간은 " &amp; F43 &amp; "년(" &amp; 12*F43 &amp;"개월)입니다."</f>
        <v>1. 무상유지보수 기간은 0년(0개월)입니다.</v>
      </c>
      <c r="B50" s="241"/>
      <c r="C50" s="241"/>
      <c r="D50" s="241"/>
      <c r="E50" s="241"/>
      <c r="F50" s="241"/>
      <c r="G50" s="241"/>
      <c r="H50" s="241"/>
      <c r="I50" s="288"/>
    </row>
    <row r="51" spans="1:12" ht="13.5" customHeight="1" x14ac:dyDescent="0.3">
      <c r="A51" s="287" t="s">
        <v>113</v>
      </c>
      <c r="B51" s="241"/>
      <c r="C51" s="241"/>
      <c r="D51" s="241"/>
      <c r="E51" s="241"/>
      <c r="F51" s="241"/>
      <c r="G51" s="241"/>
      <c r="H51" s="241"/>
      <c r="I51" s="288"/>
    </row>
    <row r="52" spans="1:12" x14ac:dyDescent="0.3">
      <c r="A52" s="287" t="s">
        <v>110</v>
      </c>
      <c r="B52" s="241"/>
      <c r="C52" s="241"/>
      <c r="D52" s="241"/>
      <c r="E52" s="241"/>
      <c r="F52" s="241"/>
      <c r="G52" s="241"/>
      <c r="H52" s="241"/>
      <c r="I52" s="288"/>
    </row>
    <row r="53" spans="1:12" x14ac:dyDescent="0.3">
      <c r="A53" s="293" t="str">
        <f>"4. 위 견적은 "&amp; C16 &amp;"에 한하여 적용 됩니다."</f>
        <v>4. 위 견적은 삼성전자 NAS 제안 건에 한하여 적용 됩니다.</v>
      </c>
      <c r="B53" s="294"/>
      <c r="C53" s="294"/>
      <c r="D53" s="294"/>
      <c r="E53" s="294"/>
      <c r="F53" s="294"/>
      <c r="G53" s="294"/>
      <c r="H53" s="294"/>
      <c r="I53" s="295"/>
    </row>
    <row r="54" spans="1:12" x14ac:dyDescent="0.3">
      <c r="A54" s="280"/>
      <c r="B54" s="262"/>
      <c r="C54" s="262"/>
      <c r="D54" s="262"/>
      <c r="E54" s="262"/>
      <c r="F54" s="262"/>
      <c r="G54" s="262"/>
      <c r="H54" s="262"/>
      <c r="I54" s="281"/>
    </row>
  </sheetData>
  <mergeCells count="86">
    <mergeCell ref="A53:I53"/>
    <mergeCell ref="A54:I54"/>
    <mergeCell ref="H46:I46"/>
    <mergeCell ref="H47:I47"/>
    <mergeCell ref="H48:I48"/>
    <mergeCell ref="A49:I49"/>
    <mergeCell ref="A50:I50"/>
    <mergeCell ref="A51:I51"/>
    <mergeCell ref="B42:C42"/>
    <mergeCell ref="D42:E42"/>
    <mergeCell ref="B43:C43"/>
    <mergeCell ref="D43:E43"/>
    <mergeCell ref="A52:I52"/>
    <mergeCell ref="B44:C44"/>
    <mergeCell ref="D44:E44"/>
    <mergeCell ref="B45:C45"/>
    <mergeCell ref="D45:E45"/>
    <mergeCell ref="B41:C41"/>
    <mergeCell ref="D41:E41"/>
    <mergeCell ref="K34:O34"/>
    <mergeCell ref="D35:E35"/>
    <mergeCell ref="B36:C36"/>
    <mergeCell ref="D36:E36"/>
    <mergeCell ref="B37:C37"/>
    <mergeCell ref="D37:E37"/>
    <mergeCell ref="B38:C38"/>
    <mergeCell ref="D38:E38"/>
    <mergeCell ref="B39:C39"/>
    <mergeCell ref="D39:E39"/>
    <mergeCell ref="D40:E40"/>
    <mergeCell ref="B32:C32"/>
    <mergeCell ref="D32:E32"/>
    <mergeCell ref="B33:C33"/>
    <mergeCell ref="D33:E33"/>
    <mergeCell ref="B34:C34"/>
    <mergeCell ref="D34:E34"/>
    <mergeCell ref="B31:C31"/>
    <mergeCell ref="D31:E31"/>
    <mergeCell ref="B24:C24"/>
    <mergeCell ref="D24:E24"/>
    <mergeCell ref="B25:C25"/>
    <mergeCell ref="D25:E25"/>
    <mergeCell ref="B26:C26"/>
    <mergeCell ref="D26:E26"/>
    <mergeCell ref="B27:C27"/>
    <mergeCell ref="D27:E27"/>
    <mergeCell ref="D28:E28"/>
    <mergeCell ref="B30:C30"/>
    <mergeCell ref="D30:E30"/>
    <mergeCell ref="B23:C23"/>
    <mergeCell ref="D23:E23"/>
    <mergeCell ref="C15:E15"/>
    <mergeCell ref="C16:E16"/>
    <mergeCell ref="A18:E18"/>
    <mergeCell ref="A20:I20"/>
    <mergeCell ref="B21:C21"/>
    <mergeCell ref="D21:E21"/>
    <mergeCell ref="B22:C22"/>
    <mergeCell ref="D22:E22"/>
    <mergeCell ref="H18:I18"/>
    <mergeCell ref="B19:C19"/>
    <mergeCell ref="D19:E19"/>
    <mergeCell ref="A12:B12"/>
    <mergeCell ref="C12:D12"/>
    <mergeCell ref="G12:G13"/>
    <mergeCell ref="H12:I13"/>
    <mergeCell ref="A13:B13"/>
    <mergeCell ref="C13:D13"/>
    <mergeCell ref="A10:B10"/>
    <mergeCell ref="C10:D10"/>
    <mergeCell ref="G10:G11"/>
    <mergeCell ref="H10:I11"/>
    <mergeCell ref="A11:B11"/>
    <mergeCell ref="C11:D11"/>
    <mergeCell ref="A8:B8"/>
    <mergeCell ref="C8:D8"/>
    <mergeCell ref="H8:I8"/>
    <mergeCell ref="A9:B9"/>
    <mergeCell ref="C9:D9"/>
    <mergeCell ref="H9:I9"/>
    <mergeCell ref="D1:I1"/>
    <mergeCell ref="D2:I2"/>
    <mergeCell ref="A4:I5"/>
    <mergeCell ref="A7:B7"/>
    <mergeCell ref="C7:D7"/>
    <mergeCell ref="H7:I7"/>
  </mergeCells>
  <phoneticPr fontId="2" type="noConversion"/>
  <dataValidations count="9">
    <dataValidation type="list" allowBlank="1" showInputMessage="1" showErrorMessage="1" sqref="N5 O2">
      <formula1>견적담당자</formula1>
    </dataValidation>
    <dataValidation type="list" allowBlank="1" showInputMessage="1" showErrorMessage="1" sqref="L10">
      <formula1>GWSingle</formula1>
    </dataValidation>
    <dataValidation type="list" allowBlank="1" showInputMessage="1" showErrorMessage="1" sqref="L11">
      <formula1>메모리</formula1>
    </dataValidation>
    <dataValidation type="list" allowBlank="1" showInputMessage="1" showErrorMessage="1" sqref="L13:L14">
      <formula1>NIC</formula1>
    </dataValidation>
    <dataValidation type="list" allowBlank="1" showInputMessage="1" showErrorMessage="1" sqref="L23">
      <formula1>워런티HA</formula1>
    </dataValidation>
    <dataValidation type="list" allowBlank="1" showInputMessage="1" showErrorMessage="1" sqref="S9">
      <formula1>RAID</formula1>
    </dataValidation>
    <dataValidation type="list" allowBlank="1" showInputMessage="1" showErrorMessage="1" sqref="L16:L17">
      <formula1>HBA_IB</formula1>
    </dataValidation>
    <dataValidation type="list" allowBlank="1" showInputMessage="1" showErrorMessage="1" sqref="L19:L20">
      <formula1>AS5워런티</formula1>
    </dataValidation>
    <dataValidation type="list" allowBlank="1" showInputMessage="1" showErrorMessage="1" sqref="L21">
      <formula1>GWCPU</formula1>
    </dataValidation>
  </dataValidations>
  <hyperlinks>
    <hyperlink ref="H9" r:id="rId1" display="gspark@gluesys.com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opyWorksheetToNewWorkbook">
                <anchor moveWithCells="1" sizeWithCells="1">
                  <from>
                    <xdr:col>11</xdr:col>
                    <xdr:colOff>1800225</xdr:colOff>
                    <xdr:row>51</xdr:row>
                    <xdr:rowOff>28575</xdr:rowOff>
                  </from>
                  <to>
                    <xdr:col>12</xdr:col>
                    <xdr:colOff>38100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수식제거">
                <anchor moveWithCells="1" sizeWithCells="1">
                  <from>
                    <xdr:col>12</xdr:col>
                    <xdr:colOff>314325</xdr:colOff>
                    <xdr:row>51</xdr:row>
                    <xdr:rowOff>19050</xdr:rowOff>
                  </from>
                  <to>
                    <xdr:col>13</xdr:col>
                    <xdr:colOff>609600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del_erase">
                <anchor moveWithCells="1" sizeWithCells="1">
                  <from>
                    <xdr:col>13</xdr:col>
                    <xdr:colOff>800100</xdr:colOff>
                    <xdr:row>51</xdr:row>
                    <xdr:rowOff>19050</xdr:rowOff>
                  </from>
                  <to>
                    <xdr:col>14</xdr:col>
                    <xdr:colOff>542925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CopyWorksheetToNewWorkbook">
                <anchor moveWithCells="1" sizeWithCells="1">
                  <from>
                    <xdr:col>14</xdr:col>
                    <xdr:colOff>1028700</xdr:colOff>
                    <xdr:row>23</xdr:row>
                    <xdr:rowOff>9525</xdr:rowOff>
                  </from>
                  <to>
                    <xdr:col>16</xdr:col>
                    <xdr:colOff>9525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수식제거">
                <anchor moveWithCells="1" sizeWithCells="1">
                  <from>
                    <xdr:col>14</xdr:col>
                    <xdr:colOff>1028700</xdr:colOff>
                    <xdr:row>27</xdr:row>
                    <xdr:rowOff>133350</xdr:rowOff>
                  </from>
                  <to>
                    <xdr:col>16</xdr:col>
                    <xdr:colOff>19050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del_erase">
                <anchor moveWithCells="1" sizeWithCells="1">
                  <from>
                    <xdr:col>14</xdr:col>
                    <xdr:colOff>1019175</xdr:colOff>
                    <xdr:row>32</xdr:row>
                    <xdr:rowOff>95250</xdr:rowOff>
                  </from>
                  <to>
                    <xdr:col>16</xdr:col>
                    <xdr:colOff>28575</xdr:colOff>
                    <xdr:row>35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54"/>
  <sheetViews>
    <sheetView workbookViewId="0">
      <selection activeCell="M23" sqref="M23"/>
    </sheetView>
  </sheetViews>
  <sheetFormatPr defaultColWidth="9" defaultRowHeight="16.5" x14ac:dyDescent="0.3"/>
  <cols>
    <col min="1" max="1" width="7.125" style="17" customWidth="1"/>
    <col min="2" max="2" width="3.625" style="17" customWidth="1"/>
    <col min="3" max="3" width="6.625" style="17" customWidth="1"/>
    <col min="4" max="4" width="12.375" style="17" customWidth="1"/>
    <col min="5" max="5" width="17.125" style="17" customWidth="1"/>
    <col min="6" max="7" width="3.625" style="17" customWidth="1"/>
    <col min="8" max="9" width="9.625" style="17" customWidth="1"/>
    <col min="10" max="10" width="10.125" style="17" customWidth="1"/>
    <col min="11" max="11" width="4.625" style="16" customWidth="1"/>
    <col min="12" max="12" width="10.625" style="16" customWidth="1"/>
    <col min="13" max="13" width="36.875" style="16" customWidth="1"/>
    <col min="14" max="14" width="9.125" style="16" customWidth="1"/>
    <col min="15" max="15" width="16.625" style="16" customWidth="1"/>
    <col min="16" max="16" width="13.625" style="16" customWidth="1"/>
    <col min="17" max="17" width="13.5" style="17" bestFit="1" customWidth="1"/>
    <col min="18" max="18" width="9.375" style="17" bestFit="1" customWidth="1"/>
    <col min="19" max="19" width="11.875" style="17" bestFit="1" customWidth="1"/>
    <col min="20" max="16384" width="9" style="17"/>
  </cols>
  <sheetData>
    <row r="1" spans="1:20" ht="13.5" customHeight="1" thickBot="1" x14ac:dyDescent="0.35">
      <c r="A1" s="15"/>
      <c r="B1" s="15"/>
      <c r="C1" s="15"/>
      <c r="D1" s="241" t="s">
        <v>61</v>
      </c>
      <c r="E1" s="241"/>
      <c r="F1" s="241"/>
      <c r="G1" s="241"/>
      <c r="H1" s="241"/>
      <c r="I1" s="241"/>
      <c r="J1" s="241"/>
      <c r="L1" s="82"/>
      <c r="M1" s="82"/>
      <c r="N1" s="82"/>
      <c r="O1" s="82"/>
      <c r="P1" s="82"/>
    </row>
    <row r="2" spans="1:20" ht="13.5" customHeight="1" x14ac:dyDescent="0.3">
      <c r="A2" s="15"/>
      <c r="B2" s="15"/>
      <c r="C2" s="15"/>
      <c r="D2" s="241" t="s">
        <v>62</v>
      </c>
      <c r="E2" s="241"/>
      <c r="F2" s="241"/>
      <c r="G2" s="241"/>
      <c r="H2" s="241"/>
      <c r="I2" s="241"/>
      <c r="J2" s="241"/>
      <c r="L2" s="183" t="s">
        <v>240</v>
      </c>
      <c r="M2" s="63" t="s">
        <v>462</v>
      </c>
      <c r="N2" s="82"/>
      <c r="O2" s="18" t="s">
        <v>2</v>
      </c>
      <c r="P2" s="63" t="s">
        <v>460</v>
      </c>
    </row>
    <row r="3" spans="1:20" ht="13.5" customHeight="1" thickBot="1" x14ac:dyDescent="0.35">
      <c r="A3" s="15"/>
      <c r="B3" s="15"/>
      <c r="C3" s="15"/>
      <c r="D3" s="15"/>
      <c r="E3" s="15"/>
      <c r="F3" s="15"/>
      <c r="G3" s="15"/>
      <c r="H3" s="15"/>
      <c r="I3" s="15"/>
      <c r="J3" s="15"/>
      <c r="L3" s="184" t="s">
        <v>241</v>
      </c>
      <c r="M3" s="81"/>
      <c r="N3" s="82"/>
      <c r="O3" s="79" t="s">
        <v>204</v>
      </c>
      <c r="P3" s="98">
        <f ca="1">TODAY()</f>
        <v>44904</v>
      </c>
    </row>
    <row r="4" spans="1:20" ht="13.5" customHeight="1" thickBot="1" x14ac:dyDescent="0.35">
      <c r="A4" s="242" t="s">
        <v>63</v>
      </c>
      <c r="B4" s="242"/>
      <c r="C4" s="242"/>
      <c r="D4" s="242"/>
      <c r="E4" s="242"/>
      <c r="F4" s="242"/>
      <c r="G4" s="242"/>
      <c r="H4" s="242"/>
      <c r="I4" s="242"/>
      <c r="J4" s="242"/>
      <c r="L4" s="184" t="s">
        <v>5</v>
      </c>
      <c r="M4" s="81"/>
      <c r="N4" s="82"/>
      <c r="O4" s="93" t="s">
        <v>242</v>
      </c>
      <c r="P4" s="94">
        <v>0</v>
      </c>
    </row>
    <row r="5" spans="1:20" ht="13.5" customHeight="1" thickBot="1" x14ac:dyDescent="0.35">
      <c r="A5" s="242"/>
      <c r="B5" s="242"/>
      <c r="C5" s="242"/>
      <c r="D5" s="242"/>
      <c r="E5" s="242"/>
      <c r="F5" s="242"/>
      <c r="G5" s="242"/>
      <c r="H5" s="242"/>
      <c r="I5" s="242"/>
      <c r="J5" s="242"/>
      <c r="L5" s="185" t="s">
        <v>239</v>
      </c>
      <c r="M5" s="80" t="s">
        <v>463</v>
      </c>
      <c r="N5" s="17"/>
      <c r="O5" s="95"/>
      <c r="P5" s="95"/>
    </row>
    <row r="6" spans="1:20" ht="13.5" customHeight="1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L6" s="17"/>
      <c r="M6" s="17"/>
      <c r="N6" s="17"/>
      <c r="O6" s="95"/>
      <c r="P6" s="95"/>
    </row>
    <row r="7" spans="1:20" ht="13.5" customHeight="1" x14ac:dyDescent="0.3">
      <c r="A7" s="243" t="s">
        <v>64</v>
      </c>
      <c r="B7" s="243"/>
      <c r="C7" s="244" t="str">
        <f ca="1">L8</f>
        <v>GLS-2212090850-8158(G)</v>
      </c>
      <c r="D7" s="245"/>
      <c r="E7" s="15"/>
      <c r="F7" s="15"/>
      <c r="G7" s="15"/>
      <c r="H7" s="22" t="s">
        <v>65</v>
      </c>
      <c r="I7" s="246" t="str">
        <f>P2</f>
        <v>이사 허 남 중</v>
      </c>
      <c r="J7" s="246"/>
      <c r="L7" s="92" t="s">
        <v>370</v>
      </c>
      <c r="M7" s="17"/>
      <c r="N7" s="17"/>
      <c r="O7" s="95"/>
      <c r="P7" s="95"/>
    </row>
    <row r="8" spans="1:20" ht="13.5" customHeight="1" thickBot="1" x14ac:dyDescent="0.35">
      <c r="A8" s="243" t="s">
        <v>66</v>
      </c>
      <c r="B8" s="243"/>
      <c r="C8" s="245" t="str">
        <f>M2 &amp; " 귀중"</f>
        <v>LG히다찌 귀중</v>
      </c>
      <c r="D8" s="245"/>
      <c r="E8" s="15"/>
      <c r="F8" s="15"/>
      <c r="G8" s="15"/>
      <c r="H8" s="22" t="s">
        <v>67</v>
      </c>
      <c r="I8" s="246" t="str">
        <f>IFERROR(VLOOKUP(I7,견적담당자INFO,2,0),"")</f>
        <v>010-3741-0869</v>
      </c>
      <c r="J8" s="246"/>
      <c r="L8" s="100" t="str">
        <f ca="1">"GLS-" &amp; TEXT(P3,"yymmdd") &amp; "0" &amp; O24*100 &amp; P4 &amp; "-" &amp; VLOOKUP(I7,견적담당자INFO,4,0) &amp; "(G)"</f>
        <v>GLS-2212090850-8158(G)</v>
      </c>
      <c r="M8" s="99"/>
      <c r="N8" s="21"/>
      <c r="O8" s="21"/>
    </row>
    <row r="9" spans="1:20" ht="13.5" customHeight="1" x14ac:dyDescent="0.3">
      <c r="A9" s="243" t="s">
        <v>68</v>
      </c>
      <c r="B9" s="243"/>
      <c r="C9" s="245" t="str">
        <f>M3 &amp; "님"</f>
        <v>님</v>
      </c>
      <c r="D9" s="245"/>
      <c r="E9" s="15"/>
      <c r="F9" s="15"/>
      <c r="G9" s="15"/>
      <c r="H9" s="22" t="s">
        <v>69</v>
      </c>
      <c r="I9" s="247" t="str">
        <f>IFERROR(VLOOKUP(I7,견적담당자INFO,3,0),"")</f>
        <v>njheo@gluesys.com</v>
      </c>
      <c r="J9" s="246"/>
      <c r="L9" s="101"/>
      <c r="M9" s="65" t="s">
        <v>332</v>
      </c>
      <c r="N9" s="65" t="s">
        <v>121</v>
      </c>
      <c r="O9" s="65" t="s">
        <v>424</v>
      </c>
      <c r="P9" s="105" t="s">
        <v>423</v>
      </c>
      <c r="Q9" s="66" t="s">
        <v>217</v>
      </c>
      <c r="S9" s="21"/>
      <c r="T9" s="62"/>
    </row>
    <row r="10" spans="1:20" ht="13.5" customHeight="1" x14ac:dyDescent="0.3">
      <c r="A10" s="248" t="s">
        <v>70</v>
      </c>
      <c r="B10" s="249"/>
      <c r="C10" s="250">
        <f>M4</f>
        <v>0</v>
      </c>
      <c r="D10" s="251"/>
      <c r="E10" s="15"/>
      <c r="F10" s="15"/>
      <c r="G10" s="15"/>
      <c r="H10" s="252" t="s">
        <v>71</v>
      </c>
      <c r="I10" s="254" t="s">
        <v>72</v>
      </c>
      <c r="J10" s="254"/>
      <c r="L10" s="67" t="s">
        <v>117</v>
      </c>
      <c r="M10" s="109" t="s">
        <v>30</v>
      </c>
      <c r="N10" s="110">
        <v>1</v>
      </c>
      <c r="O10" s="102">
        <f>IFERROR(INDEX('AS5 DB'!$G$13:$G$21,MATCH(M10,GW,0))*N10,"-")</f>
        <v>190000000</v>
      </c>
      <c r="P10" s="103">
        <f>IFERROR(O10*(1-$O$24),"-")</f>
        <v>28500000.000000004</v>
      </c>
      <c r="Q10" s="85" t="str">
        <f>IFERROR(INDEX('AS5 DB'!$D$13:$D$21,MATCH(M10,GW,0)),"-")</f>
        <v>AG10-NC020</v>
      </c>
      <c r="S10" s="21"/>
      <c r="T10" s="62"/>
    </row>
    <row r="11" spans="1:20" ht="13.5" customHeight="1" x14ac:dyDescent="0.3">
      <c r="A11" s="243" t="s">
        <v>73</v>
      </c>
      <c r="B11" s="243"/>
      <c r="C11" s="256">
        <f ca="1">P3</f>
        <v>44904</v>
      </c>
      <c r="D11" s="256"/>
      <c r="E11" s="15"/>
      <c r="F11" s="15"/>
      <c r="G11" s="15"/>
      <c r="H11" s="253"/>
      <c r="I11" s="255"/>
      <c r="J11" s="255"/>
      <c r="L11" s="67" t="s">
        <v>126</v>
      </c>
      <c r="M11" s="109" t="s">
        <v>127</v>
      </c>
      <c r="N11" s="110">
        <v>4</v>
      </c>
      <c r="O11" s="102">
        <f>IFERROR(INDEX('AS5 DB'!$G$29:$G$31,MATCH(M11,메모리,0))*N11,"-")</f>
        <v>6800000</v>
      </c>
      <c r="P11" s="103">
        <f>IFERROR(O11*(1-$O$24),"-")</f>
        <v>1020000.0000000001</v>
      </c>
      <c r="Q11" s="86" t="s">
        <v>238</v>
      </c>
      <c r="R11" s="108"/>
      <c r="S11" s="21"/>
      <c r="T11" s="62"/>
    </row>
    <row r="12" spans="1:20" ht="13.5" customHeight="1" x14ac:dyDescent="0.3">
      <c r="A12" s="243" t="s">
        <v>74</v>
      </c>
      <c r="B12" s="243"/>
      <c r="C12" s="256">
        <f ca="1">IFERROR(C11+15,"")</f>
        <v>44919</v>
      </c>
      <c r="D12" s="245"/>
      <c r="E12" s="15"/>
      <c r="F12" s="15"/>
      <c r="G12" s="15"/>
      <c r="H12" s="252" t="s">
        <v>75</v>
      </c>
      <c r="I12" s="257" t="s">
        <v>76</v>
      </c>
      <c r="J12" s="258"/>
      <c r="L12" s="71"/>
      <c r="M12" s="72"/>
      <c r="N12" s="70"/>
      <c r="O12" s="83"/>
      <c r="P12" s="104"/>
      <c r="Q12" s="106"/>
      <c r="S12" s="16"/>
      <c r="T12" s="64"/>
    </row>
    <row r="13" spans="1:20" ht="13.5" customHeight="1" x14ac:dyDescent="0.3">
      <c r="A13" s="243" t="s">
        <v>77</v>
      </c>
      <c r="B13" s="243"/>
      <c r="C13" s="245" t="s">
        <v>111</v>
      </c>
      <c r="D13" s="245"/>
      <c r="E13" s="15"/>
      <c r="F13" s="15"/>
      <c r="G13" s="15"/>
      <c r="H13" s="253"/>
      <c r="I13" s="259"/>
      <c r="J13" s="260"/>
      <c r="L13" s="67" t="s">
        <v>124</v>
      </c>
      <c r="M13" s="109" t="s">
        <v>45</v>
      </c>
      <c r="N13" s="110">
        <v>0</v>
      </c>
      <c r="O13" s="102">
        <f>IFERROR(INDEX('AS5 DB'!$G$67:$G$71,MATCH(M13,NIC,0))*N13,"-")</f>
        <v>0</v>
      </c>
      <c r="P13" s="103">
        <f>IFERROR(O13*(1-$O$24),"-")</f>
        <v>0</v>
      </c>
      <c r="Q13" s="87" t="str">
        <f>IFERROR(INDEX('AS5 DB'!$D$67:$D$71,MATCH(M13,NIC,0)),"-")</f>
        <v>NC-10GO0002</v>
      </c>
      <c r="S13" s="190"/>
      <c r="T13" s="64"/>
    </row>
    <row r="14" spans="1:20" ht="13.5" customHeight="1" x14ac:dyDescent="0.3">
      <c r="A14" s="23"/>
      <c r="B14" s="23"/>
      <c r="C14" s="24"/>
      <c r="D14" s="24"/>
      <c r="E14" s="15"/>
      <c r="F14" s="15"/>
      <c r="G14" s="15"/>
      <c r="H14" s="23"/>
      <c r="I14" s="25"/>
      <c r="J14" s="25"/>
      <c r="L14" s="67" t="s">
        <v>125</v>
      </c>
      <c r="M14" s="109"/>
      <c r="N14" s="110"/>
      <c r="O14" s="102" t="str">
        <f>IFERROR(INDEX('AS5 DB'!$G$67:$G$71,MATCH(M14,NIC,0))*N14,"-")</f>
        <v>-</v>
      </c>
      <c r="P14" s="103" t="str">
        <f>IFERROR(O14*(1-$O$24),"-")</f>
        <v>-</v>
      </c>
      <c r="Q14" s="87" t="str">
        <f>IFERROR(INDEX('AS5 DB'!$D$67:$D$71,MATCH(M14,NIC,0)),"-")</f>
        <v>-</v>
      </c>
    </row>
    <row r="15" spans="1:20" ht="13.5" customHeight="1" x14ac:dyDescent="0.3">
      <c r="A15" s="23" t="s">
        <v>114</v>
      </c>
      <c r="B15" s="24" t="s">
        <v>78</v>
      </c>
      <c r="C15" s="261" t="str">
        <f>"일금"&amp;IF(MID(I49,1,1)="1",NUMBERSTRING(I49,1),NUMBERSTRING(I49,1))&amp;"원정(VAT포함)"</f>
        <v>일금삼천구백육십만원정(VAT포함)</v>
      </c>
      <c r="D15" s="261"/>
      <c r="E15" s="261"/>
      <c r="F15" s="26"/>
      <c r="G15" s="26"/>
      <c r="H15" s="15"/>
      <c r="I15" s="15"/>
      <c r="J15" s="15"/>
      <c r="L15" s="71"/>
      <c r="M15" s="72"/>
      <c r="N15" s="70"/>
      <c r="O15" s="83"/>
      <c r="P15" s="104"/>
      <c r="Q15" s="106"/>
    </row>
    <row r="16" spans="1:20" ht="13.5" customHeight="1" x14ac:dyDescent="0.3">
      <c r="A16" s="23" t="s">
        <v>79</v>
      </c>
      <c r="B16" s="24" t="s">
        <v>78</v>
      </c>
      <c r="C16" s="241" t="str">
        <f>IF(M5="","건 명을 입력하세요",M5)</f>
        <v>한화생명 녹취시스템 구축 NAS GW 제안 건</v>
      </c>
      <c r="D16" s="241"/>
      <c r="E16" s="241"/>
      <c r="F16" s="15"/>
      <c r="G16" s="15"/>
      <c r="H16" s="15"/>
      <c r="I16" s="15"/>
      <c r="J16" s="15"/>
      <c r="L16" s="67" t="s">
        <v>448</v>
      </c>
      <c r="M16" s="109" t="s">
        <v>437</v>
      </c>
      <c r="N16" s="110">
        <v>0</v>
      </c>
      <c r="O16" s="102">
        <f>IFERROR(INDEX('AS5 DB'!$G$72:$G$78,MATCH(M16,HBA_IB,0))*N16,"-")</f>
        <v>0</v>
      </c>
      <c r="P16" s="103">
        <f>IFERROR(O16*(1-$O$24),"-")</f>
        <v>0</v>
      </c>
      <c r="Q16" s="87" t="str">
        <f>IFERROR(INDEX('AS5 DB'!$D$72:$D$78,MATCH(M16,HBA_IB,0)),"-")</f>
        <v>HB-2016G01</v>
      </c>
      <c r="S16" s="107"/>
    </row>
    <row r="17" spans="1:19" ht="13.5" customHeight="1" x14ac:dyDescent="0.3">
      <c r="A17" s="23"/>
      <c r="B17" s="24"/>
      <c r="C17" s="24"/>
      <c r="D17" s="24"/>
      <c r="E17" s="15"/>
      <c r="F17" s="15"/>
      <c r="G17" s="15"/>
      <c r="H17" s="15"/>
      <c r="I17" s="15"/>
      <c r="J17" s="15"/>
      <c r="L17" s="67" t="s">
        <v>449</v>
      </c>
      <c r="M17" s="109"/>
      <c r="N17" s="110"/>
      <c r="O17" s="102" t="str">
        <f>IFERROR(INDEX('AS5 DB'!$G$72:$G$78,MATCH(M17,HBA_IB,0))*N17,"-")</f>
        <v>-</v>
      </c>
      <c r="P17" s="103" t="str">
        <f>IFERROR(O17*(1-$O$24),"-")</f>
        <v>-</v>
      </c>
      <c r="Q17" s="87" t="str">
        <f>IFERROR(INDEX('AS5 DB'!$D$72:$D$78,MATCH(M17,HBA_IB,0)),"-")</f>
        <v>-</v>
      </c>
    </row>
    <row r="18" spans="1:19" ht="13.5" customHeight="1" x14ac:dyDescent="0.3">
      <c r="A18" s="262" t="s">
        <v>80</v>
      </c>
      <c r="B18" s="262"/>
      <c r="C18" s="262"/>
      <c r="D18" s="262"/>
      <c r="E18" s="262"/>
      <c r="F18" s="15"/>
      <c r="G18" s="15"/>
      <c r="H18" s="15"/>
      <c r="I18" s="263" t="s">
        <v>81</v>
      </c>
      <c r="J18" s="263"/>
      <c r="L18" s="71"/>
      <c r="M18" s="72"/>
      <c r="N18" s="70"/>
      <c r="O18" s="83"/>
      <c r="P18" s="104"/>
      <c r="Q18" s="106"/>
    </row>
    <row r="19" spans="1:19" ht="13.5" customHeight="1" x14ac:dyDescent="0.3">
      <c r="A19" s="156" t="s">
        <v>82</v>
      </c>
      <c r="B19" s="305" t="s">
        <v>83</v>
      </c>
      <c r="C19" s="305"/>
      <c r="D19" s="305" t="s">
        <v>84</v>
      </c>
      <c r="E19" s="305"/>
      <c r="F19" s="161" t="s">
        <v>85</v>
      </c>
      <c r="G19" s="161" t="s">
        <v>341</v>
      </c>
      <c r="H19" s="156" t="s">
        <v>86</v>
      </c>
      <c r="I19" s="156" t="s">
        <v>87</v>
      </c>
      <c r="J19" s="156" t="s">
        <v>88</v>
      </c>
      <c r="L19" s="67" t="s">
        <v>209</v>
      </c>
      <c r="M19" s="109" t="s">
        <v>372</v>
      </c>
      <c r="N19" s="110">
        <v>1</v>
      </c>
      <c r="O19" s="102">
        <f>IFERROR(INDEX('AS5 DB'!$G$99:$G$105,MATCH(M19,GW워런티,0))*N19,"-")</f>
        <v>8000000</v>
      </c>
      <c r="P19" s="103">
        <f>IFERROR(O19*(1-$O$24),"-")</f>
        <v>1200000.0000000002</v>
      </c>
      <c r="Q19" s="84" t="str">
        <f>IFERROR(INDEX('AS5 DB'!$D$99:$D$105,MATCH(M19,GW워런티,0)),"-")</f>
        <v>SV-WTAG2-1Y</v>
      </c>
      <c r="S19" s="97"/>
    </row>
    <row r="20" spans="1:19" ht="27.95" customHeight="1" x14ac:dyDescent="0.3">
      <c r="A20" s="309" t="s">
        <v>465</v>
      </c>
      <c r="B20" s="310"/>
      <c r="C20" s="310"/>
      <c r="D20" s="310"/>
      <c r="E20" s="311"/>
      <c r="F20" s="154"/>
      <c r="G20" s="155">
        <v>1</v>
      </c>
      <c r="H20" s="154"/>
      <c r="I20" s="154"/>
      <c r="J20" s="154"/>
      <c r="L20" s="170"/>
      <c r="M20" s="171"/>
      <c r="N20" s="70"/>
      <c r="O20" s="172"/>
      <c r="P20" s="173"/>
      <c r="Q20" s="174"/>
    </row>
    <row r="21" spans="1:19" ht="13.5" customHeight="1" x14ac:dyDescent="0.3">
      <c r="A21" s="33">
        <v>1</v>
      </c>
      <c r="B21" s="306" t="str">
        <f>Q10</f>
        <v>AG10-NC020</v>
      </c>
      <c r="C21" s="307"/>
      <c r="D21" s="308" t="s">
        <v>299</v>
      </c>
      <c r="E21" s="268" t="s">
        <v>299</v>
      </c>
      <c r="F21" s="34">
        <v>3</v>
      </c>
      <c r="G21" s="34"/>
      <c r="H21" s="35">
        <f>J21/0.15</f>
        <v>240000000</v>
      </c>
      <c r="I21" s="162">
        <v>12000000</v>
      </c>
      <c r="J21" s="34">
        <f>F21*I21</f>
        <v>36000000</v>
      </c>
      <c r="L21" s="168" t="s">
        <v>409</v>
      </c>
      <c r="M21" s="175" t="s">
        <v>406</v>
      </c>
      <c r="N21" s="169">
        <v>0</v>
      </c>
      <c r="O21" s="102">
        <f>IFERROR(INDEX('AS5 DB'!$G$22:$G$24,MATCH(M21,GWCPU,0))*N21,"-")</f>
        <v>0</v>
      </c>
      <c r="P21" s="103">
        <f>IFERROR(O21*(1-$O$24),"-")</f>
        <v>0</v>
      </c>
      <c r="Q21" s="84" t="str">
        <f>IFERROR(INDEX('AS5 DB'!$D$22:$D$24,MATCH(M21,GWCPU,0)),"-")</f>
        <v>Gold</v>
      </c>
    </row>
    <row r="22" spans="1:19" ht="13.5" customHeight="1" x14ac:dyDescent="0.3">
      <c r="A22" s="33"/>
      <c r="B22" s="265"/>
      <c r="C22" s="266"/>
      <c r="D22" s="267" t="s">
        <v>267</v>
      </c>
      <c r="E22" s="268" t="s">
        <v>267</v>
      </c>
      <c r="F22" s="34"/>
      <c r="G22" s="34"/>
      <c r="H22" s="35"/>
      <c r="I22" s="36">
        <v>20000000</v>
      </c>
      <c r="J22" s="34"/>
      <c r="L22" s="71"/>
      <c r="M22" s="72"/>
      <c r="N22" s="70"/>
      <c r="O22" s="83"/>
      <c r="P22" s="104"/>
      <c r="Q22" s="106"/>
    </row>
    <row r="23" spans="1:19" ht="13.5" customHeight="1" thickBot="1" x14ac:dyDescent="0.35">
      <c r="A23" s="33"/>
      <c r="B23" s="265"/>
      <c r="C23" s="266"/>
      <c r="D23" s="276" t="str">
        <f>IFERROR(MID(M11,1,2) * N11 &amp; "GB Memory", "메모리 입력해주세요")</f>
        <v>64GB Memory</v>
      </c>
      <c r="E23" s="277"/>
      <c r="F23" s="34"/>
      <c r="G23" s="34"/>
      <c r="H23" s="35"/>
      <c r="I23" s="36"/>
      <c r="J23" s="34"/>
      <c r="L23" s="67" t="s">
        <v>340</v>
      </c>
      <c r="M23" s="109" t="s">
        <v>495</v>
      </c>
      <c r="N23" s="110">
        <v>0</v>
      </c>
      <c r="O23" s="102">
        <f>IFERROR(INDEX('AS5 DB'!$G$79:$G$80,MATCH(M23,옵션SW,0))*N23,"-")</f>
        <v>0</v>
      </c>
      <c r="P23" s="103">
        <f>IFERROR(O23*(1-$O$24),"-")</f>
        <v>0</v>
      </c>
      <c r="Q23" s="84" t="str">
        <f>IFERROR(INDEX('AS5 DB'!$D$79:$D$80,MATCH(M23,옵션SW,0)),"-")</f>
        <v>AR-0000LR1</v>
      </c>
    </row>
    <row r="24" spans="1:19" ht="13.5" customHeight="1" x14ac:dyDescent="0.3">
      <c r="A24" s="33"/>
      <c r="B24" s="265"/>
      <c r="C24" s="266"/>
      <c r="D24" s="267" t="s">
        <v>300</v>
      </c>
      <c r="E24" s="268" t="s">
        <v>300</v>
      </c>
      <c r="F24" s="34"/>
      <c r="G24" s="34"/>
      <c r="H24" s="35"/>
      <c r="I24" s="36"/>
      <c r="J24" s="34"/>
      <c r="L24" s="73"/>
      <c r="M24" s="74"/>
      <c r="N24" s="68" t="s">
        <v>215</v>
      </c>
      <c r="O24" s="164">
        <v>0.85</v>
      </c>
      <c r="P24" s="90"/>
      <c r="Q24" s="77"/>
    </row>
    <row r="25" spans="1:19" ht="13.5" customHeight="1" x14ac:dyDescent="0.3">
      <c r="A25" s="33"/>
      <c r="B25" s="265"/>
      <c r="C25" s="266"/>
      <c r="D25" s="267" t="s">
        <v>303</v>
      </c>
      <c r="E25" s="268"/>
      <c r="F25" s="34"/>
      <c r="G25" s="34"/>
      <c r="H25" s="35"/>
      <c r="I25" s="36"/>
      <c r="J25" s="34"/>
      <c r="L25" s="111" t="s">
        <v>273</v>
      </c>
      <c r="M25" s="21"/>
      <c r="N25" s="21"/>
      <c r="O25" s="96"/>
      <c r="P25" s="21"/>
    </row>
    <row r="26" spans="1:19" ht="13.5" customHeight="1" x14ac:dyDescent="0.3">
      <c r="A26" s="33"/>
      <c r="B26" s="37"/>
      <c r="C26" s="38"/>
      <c r="D26" s="267" t="s">
        <v>112</v>
      </c>
      <c r="E26" s="268"/>
      <c r="F26" s="34"/>
      <c r="G26" s="34"/>
      <c r="H26" s="35"/>
      <c r="I26" s="36"/>
      <c r="J26" s="34"/>
      <c r="L26" s="113" t="s">
        <v>274</v>
      </c>
      <c r="M26" s="21"/>
      <c r="N26" s="21"/>
      <c r="O26" s="17"/>
      <c r="P26" s="17"/>
    </row>
    <row r="27" spans="1:19" ht="13.5" customHeight="1" x14ac:dyDescent="0.3">
      <c r="A27" s="39"/>
      <c r="B27" s="40"/>
      <c r="C27" s="41"/>
      <c r="D27" s="42"/>
      <c r="E27" s="43"/>
      <c r="F27" s="44"/>
      <c r="G27" s="44"/>
      <c r="H27" s="45"/>
      <c r="I27" s="46"/>
      <c r="J27" s="44"/>
      <c r="L27" s="16" t="s">
        <v>277</v>
      </c>
      <c r="M27" s="17"/>
      <c r="N27" s="21"/>
      <c r="O27" s="17"/>
      <c r="P27" s="17"/>
    </row>
    <row r="28" spans="1:19" ht="13.5" customHeight="1" x14ac:dyDescent="0.3">
      <c r="A28" s="153">
        <v>2</v>
      </c>
      <c r="B28" s="312" t="s">
        <v>219</v>
      </c>
      <c r="C28" s="313"/>
      <c r="D28" s="314" t="s">
        <v>337</v>
      </c>
      <c r="E28" s="315"/>
      <c r="F28" s="44"/>
      <c r="G28" s="44"/>
      <c r="H28" s="45">
        <v>30000000</v>
      </c>
      <c r="I28" s="46"/>
      <c r="J28" s="44"/>
      <c r="M28" s="17"/>
      <c r="N28" s="21"/>
      <c r="O28" s="17"/>
      <c r="P28" s="17"/>
    </row>
    <row r="29" spans="1:19" ht="21" customHeight="1" x14ac:dyDescent="0.3">
      <c r="A29" s="153">
        <v>3</v>
      </c>
      <c r="B29" s="312" t="s">
        <v>218</v>
      </c>
      <c r="C29" s="316" t="s">
        <v>218</v>
      </c>
      <c r="D29" s="289" t="s">
        <v>464</v>
      </c>
      <c r="E29" s="290"/>
      <c r="F29" s="44"/>
      <c r="G29" s="44"/>
      <c r="H29" s="45">
        <v>30000000</v>
      </c>
      <c r="I29" s="46"/>
      <c r="J29" s="44"/>
      <c r="M29" s="17"/>
      <c r="N29" s="21"/>
      <c r="O29" s="17"/>
      <c r="P29" s="17"/>
    </row>
    <row r="30" spans="1:19" ht="13.5" customHeight="1" x14ac:dyDescent="0.3">
      <c r="A30" s="153"/>
      <c r="B30" s="312"/>
      <c r="C30" s="316"/>
      <c r="D30" s="289"/>
      <c r="E30" s="290"/>
      <c r="F30" s="44"/>
      <c r="G30" s="44"/>
      <c r="H30" s="45"/>
      <c r="I30" s="46"/>
      <c r="J30" s="44"/>
      <c r="M30" s="17"/>
      <c r="N30" s="21"/>
      <c r="O30" s="17"/>
      <c r="P30" s="17"/>
    </row>
    <row r="31" spans="1:19" ht="13.5" customHeight="1" x14ac:dyDescent="0.3">
      <c r="A31" s="33"/>
      <c r="B31" s="265" t="s">
        <v>91</v>
      </c>
      <c r="C31" s="266"/>
      <c r="D31" s="278" t="s">
        <v>451</v>
      </c>
      <c r="E31" s="279"/>
      <c r="F31" s="34"/>
      <c r="G31" s="34"/>
      <c r="H31" s="35"/>
      <c r="I31" s="36"/>
      <c r="J31" s="34"/>
      <c r="L31" s="21" t="s">
        <v>270</v>
      </c>
      <c r="M31" s="17"/>
      <c r="N31" s="21"/>
      <c r="O31" s="17"/>
      <c r="P31" s="17"/>
    </row>
    <row r="32" spans="1:19" ht="13.5" customHeight="1" x14ac:dyDescent="0.3">
      <c r="A32" s="33"/>
      <c r="B32" s="265"/>
      <c r="C32" s="266"/>
      <c r="D32" s="267" t="s">
        <v>92</v>
      </c>
      <c r="E32" s="268"/>
      <c r="F32" s="34"/>
      <c r="G32" s="34"/>
      <c r="H32" s="35"/>
      <c r="I32" s="47"/>
      <c r="J32" s="34"/>
      <c r="L32" s="21" t="s">
        <v>271</v>
      </c>
      <c r="M32" s="17"/>
      <c r="N32" s="21"/>
      <c r="O32" s="17"/>
      <c r="P32" s="17"/>
    </row>
    <row r="33" spans="1:16" ht="13.5" customHeight="1" x14ac:dyDescent="0.3">
      <c r="A33" s="33"/>
      <c r="B33" s="274"/>
      <c r="C33" s="275"/>
      <c r="D33" s="278" t="s">
        <v>93</v>
      </c>
      <c r="E33" s="279"/>
      <c r="F33" s="34"/>
      <c r="G33" s="34"/>
      <c r="H33" s="35"/>
      <c r="I33" s="36"/>
      <c r="J33" s="34"/>
      <c r="L33" s="111" t="s">
        <v>272</v>
      </c>
      <c r="M33" s="17"/>
      <c r="N33" s="21"/>
      <c r="O33" s="17"/>
      <c r="P33" s="17"/>
    </row>
    <row r="34" spans="1:16" ht="13.5" customHeight="1" x14ac:dyDescent="0.3">
      <c r="A34" s="33"/>
      <c r="B34" s="274"/>
      <c r="C34" s="275"/>
      <c r="D34" s="267" t="s">
        <v>94</v>
      </c>
      <c r="E34" s="268"/>
      <c r="F34" s="34"/>
      <c r="G34" s="34"/>
      <c r="H34" s="35"/>
      <c r="I34" s="36"/>
      <c r="J34" s="34"/>
      <c r="L34" s="21" t="s">
        <v>278</v>
      </c>
      <c r="M34" s="112"/>
      <c r="N34" s="112"/>
      <c r="O34" s="112"/>
      <c r="P34" s="112"/>
    </row>
    <row r="35" spans="1:16" ht="13.5" customHeight="1" x14ac:dyDescent="0.3">
      <c r="A35" s="33"/>
      <c r="B35" s="274"/>
      <c r="C35" s="275"/>
      <c r="D35" s="278" t="s">
        <v>95</v>
      </c>
      <c r="E35" s="279"/>
      <c r="F35" s="34"/>
      <c r="G35" s="34"/>
      <c r="H35" s="35"/>
      <c r="I35" s="36"/>
      <c r="J35" s="34"/>
      <c r="L35" s="301" t="s">
        <v>275</v>
      </c>
      <c r="M35" s="301"/>
      <c r="N35" s="301"/>
      <c r="O35" s="301"/>
      <c r="P35" s="301"/>
    </row>
    <row r="36" spans="1:16" ht="13.5" customHeight="1" x14ac:dyDescent="0.3">
      <c r="A36" s="48"/>
      <c r="B36" s="49"/>
      <c r="C36" s="50"/>
      <c r="D36" s="267" t="s">
        <v>96</v>
      </c>
      <c r="E36" s="268"/>
      <c r="F36" s="34"/>
      <c r="G36" s="34"/>
      <c r="H36" s="35"/>
      <c r="I36" s="36"/>
      <c r="J36" s="34"/>
      <c r="L36" s="16" t="s">
        <v>276</v>
      </c>
      <c r="M36" s="17"/>
      <c r="N36" s="21"/>
      <c r="O36" s="21"/>
      <c r="P36" s="21"/>
    </row>
    <row r="37" spans="1:16" ht="27" customHeight="1" x14ac:dyDescent="0.3">
      <c r="A37" s="51"/>
      <c r="B37" s="274"/>
      <c r="C37" s="275"/>
      <c r="D37" s="267" t="s">
        <v>97</v>
      </c>
      <c r="E37" s="268"/>
      <c r="F37" s="34"/>
      <c r="G37" s="34"/>
      <c r="H37" s="35"/>
      <c r="I37" s="36"/>
      <c r="J37" s="34"/>
      <c r="L37" s="17"/>
      <c r="M37" s="17"/>
      <c r="N37" s="21"/>
      <c r="O37" s="21"/>
      <c r="P37" s="21"/>
    </row>
    <row r="38" spans="1:16" ht="13.5" customHeight="1" x14ac:dyDescent="0.3">
      <c r="A38" s="52"/>
      <c r="B38" s="274"/>
      <c r="C38" s="275"/>
      <c r="D38" s="267" t="s">
        <v>98</v>
      </c>
      <c r="E38" s="268"/>
      <c r="F38" s="34"/>
      <c r="G38" s="34"/>
      <c r="H38" s="35"/>
      <c r="I38" s="36"/>
      <c r="J38" s="34"/>
      <c r="L38" s="21"/>
      <c r="M38" s="17"/>
      <c r="N38" s="17"/>
      <c r="O38" s="21"/>
      <c r="P38" s="21"/>
    </row>
    <row r="39" spans="1:16" ht="13.5" customHeight="1" x14ac:dyDescent="0.3">
      <c r="A39" s="52"/>
      <c r="B39" s="274"/>
      <c r="C39" s="275"/>
      <c r="D39" s="267" t="s">
        <v>99</v>
      </c>
      <c r="E39" s="268"/>
      <c r="F39" s="34"/>
      <c r="G39" s="34"/>
      <c r="H39" s="35"/>
      <c r="I39" s="36"/>
      <c r="J39" s="34"/>
      <c r="L39" s="21" t="s">
        <v>269</v>
      </c>
      <c r="M39" s="17"/>
      <c r="N39" s="21"/>
      <c r="O39" s="21"/>
      <c r="P39" s="21"/>
    </row>
    <row r="40" spans="1:16" ht="13.5" customHeight="1" x14ac:dyDescent="0.3">
      <c r="A40" s="52"/>
      <c r="B40" s="274"/>
      <c r="C40" s="275"/>
      <c r="D40" s="267" t="s">
        <v>100</v>
      </c>
      <c r="E40" s="268"/>
      <c r="F40" s="34"/>
      <c r="G40" s="34"/>
      <c r="H40" s="35"/>
      <c r="I40" s="36"/>
      <c r="J40" s="34"/>
      <c r="M40" s="17"/>
      <c r="N40" s="21"/>
      <c r="O40" s="21"/>
      <c r="P40" s="21"/>
    </row>
    <row r="41" spans="1:16" ht="13.5" customHeight="1" x14ac:dyDescent="0.3">
      <c r="A41" s="52"/>
      <c r="B41" s="49"/>
      <c r="C41" s="50"/>
      <c r="D41" s="267" t="s">
        <v>101</v>
      </c>
      <c r="E41" s="268"/>
      <c r="F41" s="34"/>
      <c r="G41" s="34"/>
      <c r="H41" s="35"/>
      <c r="I41" s="36"/>
      <c r="J41" s="34"/>
      <c r="P41" s="21"/>
    </row>
    <row r="42" spans="1:16" ht="13.5" customHeight="1" x14ac:dyDescent="0.3">
      <c r="A42" s="39"/>
      <c r="B42" s="291"/>
      <c r="C42" s="292"/>
      <c r="D42" s="289"/>
      <c r="E42" s="290"/>
      <c r="F42" s="44"/>
      <c r="G42" s="44"/>
      <c r="H42" s="45"/>
      <c r="I42" s="46"/>
      <c r="J42" s="44"/>
      <c r="P42" s="21"/>
    </row>
    <row r="43" spans="1:16" ht="13.5" customHeight="1" x14ac:dyDescent="0.3">
      <c r="A43" s="48">
        <v>4</v>
      </c>
      <c r="B43" s="274" t="str">
        <f>Q16</f>
        <v>HB-2016G01</v>
      </c>
      <c r="C43" s="275"/>
      <c r="D43" s="276" t="str">
        <f>M16</f>
        <v>2 Port 16G Fibre Channel Interface</v>
      </c>
      <c r="E43" s="277"/>
      <c r="F43" s="34">
        <v>3</v>
      </c>
      <c r="G43" s="34"/>
      <c r="H43" s="35"/>
      <c r="I43" s="36"/>
      <c r="J43" s="34"/>
    </row>
    <row r="44" spans="1:16" ht="13.5" customHeight="1" x14ac:dyDescent="0.3">
      <c r="A44" s="48">
        <v>5</v>
      </c>
      <c r="B44" s="274" t="str">
        <f>Q13</f>
        <v>NC-10GO0002</v>
      </c>
      <c r="C44" s="275"/>
      <c r="D44" s="320" t="s">
        <v>467</v>
      </c>
      <c r="E44" s="321"/>
      <c r="F44" s="34">
        <v>3</v>
      </c>
      <c r="G44" s="34"/>
      <c r="H44" s="35"/>
      <c r="I44" s="36"/>
      <c r="J44" s="34"/>
    </row>
    <row r="45" spans="1:16" ht="13.5" customHeight="1" x14ac:dyDescent="0.3">
      <c r="A45" s="48">
        <v>6</v>
      </c>
      <c r="B45" s="296" t="str">
        <f>Q19</f>
        <v>SV-WTAG2-1Y</v>
      </c>
      <c r="C45" s="275"/>
      <c r="D45" s="320" t="s">
        <v>372</v>
      </c>
      <c r="E45" s="321"/>
      <c r="F45" s="34">
        <v>1</v>
      </c>
      <c r="G45" s="34"/>
      <c r="H45" s="35"/>
      <c r="I45" s="36"/>
      <c r="J45" s="34"/>
    </row>
    <row r="46" spans="1:16" ht="13.5" customHeight="1" x14ac:dyDescent="0.3">
      <c r="A46" s="48">
        <v>6</v>
      </c>
      <c r="B46" s="296" t="s">
        <v>469</v>
      </c>
      <c r="C46" s="275"/>
      <c r="D46" s="320" t="s">
        <v>468</v>
      </c>
      <c r="E46" s="321"/>
      <c r="F46" s="34">
        <v>1</v>
      </c>
      <c r="G46" s="34"/>
      <c r="H46" s="35"/>
      <c r="I46" s="36"/>
      <c r="J46" s="34"/>
    </row>
    <row r="47" spans="1:16" ht="13.5" customHeight="1" x14ac:dyDescent="0.3">
      <c r="A47" s="53" t="s">
        <v>105</v>
      </c>
      <c r="B47" s="54"/>
      <c r="C47" s="54"/>
      <c r="D47" s="54"/>
      <c r="E47" s="54"/>
      <c r="F47" s="55"/>
      <c r="G47" s="55"/>
      <c r="H47" s="56" t="s">
        <v>106</v>
      </c>
      <c r="I47" s="282">
        <f>SUM(J21:J45)</f>
        <v>36000000</v>
      </c>
      <c r="J47" s="283"/>
    </row>
    <row r="48" spans="1:16" ht="13.5" customHeight="1" x14ac:dyDescent="0.3">
      <c r="A48" s="57"/>
      <c r="B48" s="15"/>
      <c r="C48" s="15"/>
      <c r="D48" s="15"/>
      <c r="E48" s="15"/>
      <c r="F48" s="58"/>
      <c r="G48" s="58"/>
      <c r="H48" s="56" t="s">
        <v>107</v>
      </c>
      <c r="I48" s="282">
        <f>I47/10</f>
        <v>3600000</v>
      </c>
      <c r="J48" s="283"/>
    </row>
    <row r="49" spans="1:10" ht="13.5" customHeight="1" x14ac:dyDescent="0.3">
      <c r="A49" s="59"/>
      <c r="B49" s="60"/>
      <c r="C49" s="60"/>
      <c r="D49" s="60"/>
      <c r="E49" s="60"/>
      <c r="F49" s="61"/>
      <c r="G49" s="61"/>
      <c r="H49" s="56" t="s">
        <v>108</v>
      </c>
      <c r="I49" s="282">
        <f>SUM(I47:J48)</f>
        <v>39600000</v>
      </c>
      <c r="J49" s="283"/>
    </row>
    <row r="50" spans="1:10" ht="13.5" customHeight="1" x14ac:dyDescent="0.3">
      <c r="A50" s="284" t="s">
        <v>109</v>
      </c>
      <c r="B50" s="285"/>
      <c r="C50" s="285"/>
      <c r="D50" s="285"/>
      <c r="E50" s="285"/>
      <c r="F50" s="285"/>
      <c r="G50" s="285"/>
      <c r="H50" s="285"/>
      <c r="I50" s="285"/>
      <c r="J50" s="286"/>
    </row>
    <row r="51" spans="1:10" ht="13.5" customHeight="1" x14ac:dyDescent="0.3">
      <c r="A51" s="287" t="s">
        <v>466</v>
      </c>
      <c r="B51" s="241"/>
      <c r="C51" s="241"/>
      <c r="D51" s="241"/>
      <c r="E51" s="241"/>
      <c r="F51" s="241"/>
      <c r="G51" s="241"/>
      <c r="H51" s="241"/>
      <c r="I51" s="241"/>
      <c r="J51" s="288"/>
    </row>
    <row r="52" spans="1:10" ht="13.5" customHeight="1" x14ac:dyDescent="0.3">
      <c r="A52" s="287" t="s">
        <v>113</v>
      </c>
      <c r="B52" s="241"/>
      <c r="C52" s="241"/>
      <c r="D52" s="241"/>
      <c r="E52" s="241"/>
      <c r="F52" s="241"/>
      <c r="G52" s="241"/>
      <c r="H52" s="241"/>
      <c r="I52" s="241"/>
      <c r="J52" s="288"/>
    </row>
    <row r="53" spans="1:10" ht="13.5" customHeight="1" x14ac:dyDescent="0.3">
      <c r="A53" s="287" t="s">
        <v>110</v>
      </c>
      <c r="B53" s="241"/>
      <c r="C53" s="241"/>
      <c r="D53" s="241"/>
      <c r="E53" s="241"/>
      <c r="F53" s="241"/>
      <c r="G53" s="241"/>
      <c r="H53" s="241"/>
      <c r="I53" s="241"/>
      <c r="J53" s="288"/>
    </row>
    <row r="54" spans="1:10" ht="13.5" customHeight="1" x14ac:dyDescent="0.3">
      <c r="A54" s="317" t="str">
        <f>"4. 위 견적은 "&amp; C16 &amp;"에 한하여 적용 됩니다."</f>
        <v>4. 위 견적은 한화생명 녹취시스템 구축 NAS GW 제안 건에 한하여 적용 됩니다.</v>
      </c>
      <c r="B54" s="318"/>
      <c r="C54" s="318"/>
      <c r="D54" s="318"/>
      <c r="E54" s="318"/>
      <c r="F54" s="318"/>
      <c r="G54" s="318"/>
      <c r="H54" s="318"/>
      <c r="I54" s="318"/>
      <c r="J54" s="319"/>
    </row>
  </sheetData>
  <mergeCells count="87">
    <mergeCell ref="B42:C42"/>
    <mergeCell ref="D42:E42"/>
    <mergeCell ref="B32:C32"/>
    <mergeCell ref="D32:E32"/>
    <mergeCell ref="B39:C39"/>
    <mergeCell ref="D39:E39"/>
    <mergeCell ref="B40:C40"/>
    <mergeCell ref="D40:E40"/>
    <mergeCell ref="B33:C33"/>
    <mergeCell ref="D33:E33"/>
    <mergeCell ref="B34:C34"/>
    <mergeCell ref="D34:E34"/>
    <mergeCell ref="D41:E41"/>
    <mergeCell ref="B43:C43"/>
    <mergeCell ref="D43:E43"/>
    <mergeCell ref="A53:J53"/>
    <mergeCell ref="B46:C46"/>
    <mergeCell ref="D46:E46"/>
    <mergeCell ref="B44:C44"/>
    <mergeCell ref="D44:E44"/>
    <mergeCell ref="B45:C45"/>
    <mergeCell ref="D45:E45"/>
    <mergeCell ref="A54:J54"/>
    <mergeCell ref="I47:J47"/>
    <mergeCell ref="I48:J48"/>
    <mergeCell ref="I49:J49"/>
    <mergeCell ref="A50:J50"/>
    <mergeCell ref="A51:J51"/>
    <mergeCell ref="A52:J52"/>
    <mergeCell ref="L35:P35"/>
    <mergeCell ref="D36:E36"/>
    <mergeCell ref="B37:C37"/>
    <mergeCell ref="D37:E37"/>
    <mergeCell ref="B38:C38"/>
    <mergeCell ref="D38:E38"/>
    <mergeCell ref="B35:C35"/>
    <mergeCell ref="D35:E35"/>
    <mergeCell ref="B24:C24"/>
    <mergeCell ref="D24:E24"/>
    <mergeCell ref="B25:C25"/>
    <mergeCell ref="D25:E25"/>
    <mergeCell ref="D26:E26"/>
    <mergeCell ref="B31:C31"/>
    <mergeCell ref="D31:E31"/>
    <mergeCell ref="B28:C28"/>
    <mergeCell ref="D28:E28"/>
    <mergeCell ref="B29:C29"/>
    <mergeCell ref="D29:E29"/>
    <mergeCell ref="B30:C30"/>
    <mergeCell ref="D30:E30"/>
    <mergeCell ref="B23:C23"/>
    <mergeCell ref="D23:E23"/>
    <mergeCell ref="C15:E15"/>
    <mergeCell ref="C16:E16"/>
    <mergeCell ref="A18:E18"/>
    <mergeCell ref="B21:C21"/>
    <mergeCell ref="D21:E21"/>
    <mergeCell ref="B22:C22"/>
    <mergeCell ref="D22:E22"/>
    <mergeCell ref="A20:E20"/>
    <mergeCell ref="I18:J18"/>
    <mergeCell ref="B19:C19"/>
    <mergeCell ref="D19:E19"/>
    <mergeCell ref="A12:B12"/>
    <mergeCell ref="C12:D12"/>
    <mergeCell ref="H12:H13"/>
    <mergeCell ref="I12:J13"/>
    <mergeCell ref="A13:B13"/>
    <mergeCell ref="C13:D13"/>
    <mergeCell ref="A10:B10"/>
    <mergeCell ref="C10:D10"/>
    <mergeCell ref="H10:H11"/>
    <mergeCell ref="I10:J11"/>
    <mergeCell ref="A11:B11"/>
    <mergeCell ref="C11:D11"/>
    <mergeCell ref="A8:B8"/>
    <mergeCell ref="C8:D8"/>
    <mergeCell ref="I8:J8"/>
    <mergeCell ref="A9:B9"/>
    <mergeCell ref="C9:D9"/>
    <mergeCell ref="I9:J9"/>
    <mergeCell ref="D1:J1"/>
    <mergeCell ref="D2:J2"/>
    <mergeCell ref="A4:J5"/>
    <mergeCell ref="A7:B7"/>
    <mergeCell ref="C7:D7"/>
    <mergeCell ref="I7:J7"/>
  </mergeCells>
  <phoneticPr fontId="2" type="noConversion"/>
  <dataValidations count="9">
    <dataValidation type="list" allowBlank="1" showInputMessage="1" showErrorMessage="1" sqref="M16:M17">
      <formula1>HBA_IB</formula1>
    </dataValidation>
    <dataValidation type="list" allowBlank="1" showInputMessage="1" showErrorMessage="1" sqref="T9">
      <formula1>RAID</formula1>
    </dataValidation>
    <dataValidation type="list" allowBlank="1" showInputMessage="1" showErrorMessage="1" sqref="M23">
      <formula1>옵션SW</formula1>
    </dataValidation>
    <dataValidation type="list" allowBlank="1" showInputMessage="1" showErrorMessage="1" sqref="M13:M14">
      <formula1>NIC</formula1>
    </dataValidation>
    <dataValidation type="list" allowBlank="1" showInputMessage="1" showErrorMessage="1" sqref="M11">
      <formula1>메모리</formula1>
    </dataValidation>
    <dataValidation type="list" allowBlank="1" showInputMessage="1" showErrorMessage="1" sqref="M10">
      <formula1>GWCluster</formula1>
    </dataValidation>
    <dataValidation type="list" allowBlank="1" showInputMessage="1" showErrorMessage="1" sqref="O5 P2">
      <formula1>견적담당자</formula1>
    </dataValidation>
    <dataValidation type="list" allowBlank="1" showInputMessage="1" showErrorMessage="1" sqref="M19">
      <formula1>GW워런티</formula1>
    </dataValidation>
    <dataValidation type="list" allowBlank="1" showInputMessage="1" showErrorMessage="1" sqref="M21">
      <formula1>GWCPU</formula1>
    </dataValidation>
  </dataValidations>
  <hyperlinks>
    <hyperlink ref="I9" r:id="rId1" display="gspark@gluesys.com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CopyWorksheetToNewWorkbook">
                <anchor moveWithCells="1" sizeWithCells="1">
                  <from>
                    <xdr:col>15</xdr:col>
                    <xdr:colOff>1028700</xdr:colOff>
                    <xdr:row>24</xdr:row>
                    <xdr:rowOff>0</xdr:rowOff>
                  </from>
                  <to>
                    <xdr:col>17</xdr:col>
                    <xdr:colOff>19050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수식제거">
                <anchor moveWithCells="1" sizeWithCells="1">
                  <from>
                    <xdr:col>15</xdr:col>
                    <xdr:colOff>1028700</xdr:colOff>
                    <xdr:row>27</xdr:row>
                    <xdr:rowOff>123825</xdr:rowOff>
                  </from>
                  <to>
                    <xdr:col>17</xdr:col>
                    <xdr:colOff>19050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del_erase">
                <anchor moveWithCells="1" sizeWithCells="1">
                  <from>
                    <xdr:col>15</xdr:col>
                    <xdr:colOff>1028700</xdr:colOff>
                    <xdr:row>33</xdr:row>
                    <xdr:rowOff>85725</xdr:rowOff>
                  </from>
                  <to>
                    <xdr:col>17</xdr:col>
                    <xdr:colOff>38100</xdr:colOff>
                    <xdr:row>36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56"/>
  <sheetViews>
    <sheetView topLeftCell="A4" workbookViewId="0">
      <selection activeCell="M22" sqref="M22"/>
    </sheetView>
  </sheetViews>
  <sheetFormatPr defaultColWidth="9" defaultRowHeight="16.5" x14ac:dyDescent="0.3"/>
  <cols>
    <col min="1" max="1" width="7.125" style="17" customWidth="1"/>
    <col min="2" max="2" width="3.625" style="17" customWidth="1"/>
    <col min="3" max="3" width="6.625" style="17" customWidth="1"/>
    <col min="4" max="4" width="12.375" style="17" customWidth="1"/>
    <col min="5" max="5" width="17.125" style="17" customWidth="1"/>
    <col min="6" max="7" width="3.625" style="17" customWidth="1"/>
    <col min="8" max="9" width="9.625" style="17" customWidth="1"/>
    <col min="10" max="10" width="10.125" style="17" customWidth="1"/>
    <col min="11" max="11" width="4.625" style="16" customWidth="1"/>
    <col min="12" max="12" width="10.625" style="16" customWidth="1"/>
    <col min="13" max="13" width="36.875" style="16" customWidth="1"/>
    <col min="14" max="14" width="9.125" style="16" customWidth="1"/>
    <col min="15" max="15" width="16.625" style="16" customWidth="1"/>
    <col min="16" max="16" width="13.625" style="16" customWidth="1"/>
    <col min="17" max="17" width="13.5" style="17" bestFit="1" customWidth="1"/>
    <col min="18" max="18" width="2.625" style="17" customWidth="1"/>
    <col min="19" max="20" width="15.625" style="17" customWidth="1"/>
    <col min="21" max="16384" width="9" style="17"/>
  </cols>
  <sheetData>
    <row r="1" spans="1:20" ht="13.5" customHeight="1" thickBot="1" x14ac:dyDescent="0.35">
      <c r="A1" s="15"/>
      <c r="B1" s="15"/>
      <c r="C1" s="15"/>
      <c r="D1" s="241" t="s">
        <v>61</v>
      </c>
      <c r="E1" s="241"/>
      <c r="F1" s="241"/>
      <c r="G1" s="241"/>
      <c r="H1" s="241"/>
      <c r="I1" s="241"/>
      <c r="J1" s="241"/>
      <c r="L1" s="82"/>
      <c r="M1" s="82"/>
      <c r="N1" s="82"/>
      <c r="O1" s="82"/>
      <c r="P1" s="82"/>
    </row>
    <row r="2" spans="1:20" ht="13.5" customHeight="1" x14ac:dyDescent="0.3">
      <c r="A2" s="15"/>
      <c r="B2" s="15"/>
      <c r="C2" s="15"/>
      <c r="D2" s="241" t="s">
        <v>62</v>
      </c>
      <c r="E2" s="241"/>
      <c r="F2" s="241"/>
      <c r="G2" s="241"/>
      <c r="H2" s="241"/>
      <c r="I2" s="241"/>
      <c r="J2" s="241"/>
      <c r="L2" s="183" t="s">
        <v>240</v>
      </c>
      <c r="M2" s="63" t="s">
        <v>462</v>
      </c>
      <c r="N2" s="82"/>
      <c r="O2" s="18" t="s">
        <v>2</v>
      </c>
      <c r="P2" s="63" t="s">
        <v>461</v>
      </c>
    </row>
    <row r="3" spans="1:20" ht="13.5" customHeight="1" thickBot="1" x14ac:dyDescent="0.35">
      <c r="A3" s="15"/>
      <c r="B3" s="15"/>
      <c r="C3" s="15"/>
      <c r="D3" s="15"/>
      <c r="E3" s="15"/>
      <c r="F3" s="15"/>
      <c r="G3" s="15"/>
      <c r="H3" s="15"/>
      <c r="I3" s="15"/>
      <c r="J3" s="15"/>
      <c r="L3" s="184" t="s">
        <v>241</v>
      </c>
      <c r="M3" s="81"/>
      <c r="N3" s="82"/>
      <c r="O3" s="79" t="s">
        <v>204</v>
      </c>
      <c r="P3" s="98">
        <f ca="1">TODAY()</f>
        <v>44904</v>
      </c>
    </row>
    <row r="4" spans="1:20" ht="13.5" customHeight="1" thickBot="1" x14ac:dyDescent="0.35">
      <c r="A4" s="242" t="s">
        <v>63</v>
      </c>
      <c r="B4" s="242"/>
      <c r="C4" s="242"/>
      <c r="D4" s="242"/>
      <c r="E4" s="242"/>
      <c r="F4" s="242"/>
      <c r="G4" s="242"/>
      <c r="H4" s="242"/>
      <c r="I4" s="242"/>
      <c r="J4" s="242"/>
      <c r="L4" s="184" t="s">
        <v>5</v>
      </c>
      <c r="M4" s="81"/>
      <c r="N4" s="82"/>
      <c r="O4" s="93" t="s">
        <v>242</v>
      </c>
      <c r="P4" s="94">
        <v>0</v>
      </c>
    </row>
    <row r="5" spans="1:20" ht="13.5" customHeight="1" thickBot="1" x14ac:dyDescent="0.35">
      <c r="A5" s="242"/>
      <c r="B5" s="242"/>
      <c r="C5" s="242"/>
      <c r="D5" s="242"/>
      <c r="E5" s="242"/>
      <c r="F5" s="242"/>
      <c r="G5" s="242"/>
      <c r="H5" s="242"/>
      <c r="I5" s="242"/>
      <c r="J5" s="242"/>
      <c r="L5" s="185" t="s">
        <v>239</v>
      </c>
      <c r="M5" s="80" t="s">
        <v>436</v>
      </c>
      <c r="N5" s="17"/>
      <c r="O5" s="95"/>
      <c r="P5" s="95"/>
    </row>
    <row r="6" spans="1:20" ht="13.5" customHeight="1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L6" s="17"/>
      <c r="M6" s="17"/>
      <c r="N6" s="17"/>
      <c r="O6" s="95"/>
      <c r="P6" s="95"/>
    </row>
    <row r="7" spans="1:20" ht="13.5" customHeight="1" x14ac:dyDescent="0.3">
      <c r="A7" s="243" t="s">
        <v>64</v>
      </c>
      <c r="B7" s="243"/>
      <c r="C7" s="244" t="str">
        <f ca="1">L8</f>
        <v>GLS-2212090850-5371(G)</v>
      </c>
      <c r="D7" s="245"/>
      <c r="E7" s="15"/>
      <c r="F7" s="15"/>
      <c r="G7" s="15"/>
      <c r="H7" s="22" t="s">
        <v>65</v>
      </c>
      <c r="I7" s="246" t="str">
        <f>P2</f>
        <v>이사 박 근 식</v>
      </c>
      <c r="J7" s="246"/>
      <c r="L7" s="92" t="s">
        <v>370</v>
      </c>
      <c r="M7" s="17"/>
      <c r="N7" s="17"/>
      <c r="O7" s="95"/>
      <c r="P7" s="95"/>
    </row>
    <row r="8" spans="1:20" ht="13.5" customHeight="1" thickBot="1" x14ac:dyDescent="0.35">
      <c r="A8" s="243" t="s">
        <v>66</v>
      </c>
      <c r="B8" s="243"/>
      <c r="C8" s="245" t="str">
        <f>M2 &amp; " 귀중"</f>
        <v>LG히다찌 귀중</v>
      </c>
      <c r="D8" s="245"/>
      <c r="E8" s="15"/>
      <c r="F8" s="15"/>
      <c r="G8" s="15"/>
      <c r="H8" s="22" t="s">
        <v>67</v>
      </c>
      <c r="I8" s="246" t="str">
        <f>IFERROR(VLOOKUP(I7,견적담당자INFO,2,0),"")</f>
        <v>010-5669-3172</v>
      </c>
      <c r="J8" s="246"/>
      <c r="L8" s="100" t="str">
        <f ca="1">"GLS-" &amp; TEXT(P3,"yymmdd") &amp; "0" &amp; O25*100 &amp; P4 &amp; "-" &amp; VLOOKUP(I7,견적담당자INFO,4,0) &amp; "(G)"</f>
        <v>GLS-2212090850-5371(G)</v>
      </c>
      <c r="M8" s="99"/>
      <c r="N8" s="21"/>
      <c r="O8" s="21"/>
    </row>
    <row r="9" spans="1:20" ht="13.5" customHeight="1" x14ac:dyDescent="0.3">
      <c r="A9" s="243" t="s">
        <v>68</v>
      </c>
      <c r="B9" s="243"/>
      <c r="C9" s="245" t="str">
        <f>M3 &amp; "님"</f>
        <v>님</v>
      </c>
      <c r="D9" s="245"/>
      <c r="E9" s="15"/>
      <c r="F9" s="15"/>
      <c r="G9" s="15"/>
      <c r="H9" s="22" t="s">
        <v>69</v>
      </c>
      <c r="I9" s="247" t="str">
        <f>IFERROR(VLOOKUP(I7,견적담당자INFO,3,0),"")</f>
        <v>gspark@gluesys.com</v>
      </c>
      <c r="J9" s="246"/>
      <c r="L9" s="101"/>
      <c r="M9" s="65" t="s">
        <v>332</v>
      </c>
      <c r="N9" s="65" t="s">
        <v>121</v>
      </c>
      <c r="O9" s="65" t="s">
        <v>424</v>
      </c>
      <c r="P9" s="105" t="s">
        <v>423</v>
      </c>
      <c r="Q9" s="66" t="s">
        <v>217</v>
      </c>
      <c r="S9" s="235" t="s">
        <v>420</v>
      </c>
      <c r="T9" s="236"/>
    </row>
    <row r="10" spans="1:20" ht="13.5" customHeight="1" thickBot="1" x14ac:dyDescent="0.35">
      <c r="A10" s="248" t="s">
        <v>70</v>
      </c>
      <c r="B10" s="249"/>
      <c r="C10" s="250">
        <f>M4</f>
        <v>0</v>
      </c>
      <c r="D10" s="251"/>
      <c r="E10" s="15"/>
      <c r="F10" s="15"/>
      <c r="G10" s="15"/>
      <c r="H10" s="252" t="s">
        <v>71</v>
      </c>
      <c r="I10" s="254" t="s">
        <v>72</v>
      </c>
      <c r="J10" s="254"/>
      <c r="L10" s="67" t="s">
        <v>117</v>
      </c>
      <c r="M10" s="109" t="s">
        <v>37</v>
      </c>
      <c r="N10" s="110">
        <v>1</v>
      </c>
      <c r="O10" s="102">
        <f>IFERROR(INDEX('AS5 DB'!$G$25:$G$28,MATCH(M10,AS3000SD,0))*N10,"-")</f>
        <v>205000000</v>
      </c>
      <c r="P10" s="103">
        <f>IFERROR(O10*(1-$O$25),"-")</f>
        <v>30750000.000000004</v>
      </c>
      <c r="Q10" s="85" t="str">
        <f>IFERROR(INDEX('AS5 DB'!$D$25:$D$28,MATCH(M10,AS3000SD,0)),"-")</f>
        <v>AS-3000D01</v>
      </c>
      <c r="S10" s="237"/>
      <c r="T10" s="238"/>
    </row>
    <row r="11" spans="1:20" ht="13.5" customHeight="1" x14ac:dyDescent="0.3">
      <c r="A11" s="243" t="s">
        <v>73</v>
      </c>
      <c r="B11" s="243"/>
      <c r="C11" s="256">
        <f ca="1">P3</f>
        <v>44904</v>
      </c>
      <c r="D11" s="256"/>
      <c r="E11" s="15"/>
      <c r="F11" s="15"/>
      <c r="G11" s="15"/>
      <c r="H11" s="253"/>
      <c r="I11" s="255"/>
      <c r="J11" s="255"/>
      <c r="L11" s="67" t="s">
        <v>126</v>
      </c>
      <c r="M11" s="109" t="s">
        <v>129</v>
      </c>
      <c r="N11" s="110">
        <v>2</v>
      </c>
      <c r="O11" s="102">
        <f>IFERROR(INDEX('AS5 DB'!$G$29:$G$31,MATCH(M11,메모리,0))*N11,"-")</f>
        <v>16000000</v>
      </c>
      <c r="P11" s="103">
        <f>IFERROR(O11*(1-$O$25),"-")</f>
        <v>2400000.0000000005</v>
      </c>
      <c r="Q11" s="86" t="s">
        <v>238</v>
      </c>
      <c r="R11" s="108"/>
      <c r="S11" s="176" t="s">
        <v>261</v>
      </c>
      <c r="T11" s="177" t="s">
        <v>440</v>
      </c>
    </row>
    <row r="12" spans="1:20" ht="13.5" customHeight="1" x14ac:dyDescent="0.3">
      <c r="A12" s="243" t="s">
        <v>74</v>
      </c>
      <c r="B12" s="243"/>
      <c r="C12" s="256">
        <f ca="1">IFERROR(C11+15,"")</f>
        <v>44919</v>
      </c>
      <c r="D12" s="245"/>
      <c r="E12" s="15"/>
      <c r="F12" s="15"/>
      <c r="G12" s="15"/>
      <c r="H12" s="252" t="s">
        <v>75</v>
      </c>
      <c r="I12" s="257" t="s">
        <v>76</v>
      </c>
      <c r="J12" s="258"/>
      <c r="L12" s="71"/>
      <c r="M12" s="72"/>
      <c r="N12" s="70"/>
      <c r="O12" s="83"/>
      <c r="P12" s="104"/>
      <c r="Q12" s="106"/>
      <c r="S12" s="176" t="s">
        <v>260</v>
      </c>
      <c r="T12" s="81">
        <v>1.92</v>
      </c>
    </row>
    <row r="13" spans="1:20" ht="13.5" customHeight="1" x14ac:dyDescent="0.3">
      <c r="A13" s="243" t="s">
        <v>77</v>
      </c>
      <c r="B13" s="243"/>
      <c r="C13" s="245" t="s">
        <v>111</v>
      </c>
      <c r="D13" s="245"/>
      <c r="E13" s="15"/>
      <c r="F13" s="15"/>
      <c r="G13" s="15"/>
      <c r="H13" s="253"/>
      <c r="I13" s="259"/>
      <c r="J13" s="260"/>
      <c r="L13" s="67" t="s">
        <v>122</v>
      </c>
      <c r="M13" s="109"/>
      <c r="N13" s="110"/>
      <c r="O13" s="102" t="str">
        <f>IFERROR(INDEX('AS5 DB'!$G$32:$G$66,MATCH(M13,디스크,0))*N13,"-")</f>
        <v>-</v>
      </c>
      <c r="P13" s="103" t="str">
        <f>IFERROR(O13*(1-$O$25),"-")</f>
        <v>-</v>
      </c>
      <c r="Q13" s="87" t="str">
        <f>IFERROR(INDEX('AS5 DB'!$D$32:$D$66,MATCH(M13,디스크,0)),"-")</f>
        <v>-</v>
      </c>
      <c r="S13" s="176" t="s">
        <v>121</v>
      </c>
      <c r="T13" s="81">
        <v>10</v>
      </c>
    </row>
    <row r="14" spans="1:20" ht="13.5" customHeight="1" x14ac:dyDescent="0.3">
      <c r="A14" s="23"/>
      <c r="B14" s="23"/>
      <c r="C14" s="24"/>
      <c r="D14" s="24"/>
      <c r="E14" s="15"/>
      <c r="F14" s="15"/>
      <c r="G14" s="15"/>
      <c r="H14" s="23"/>
      <c r="I14" s="25"/>
      <c r="J14" s="25"/>
      <c r="L14" s="67" t="s">
        <v>123</v>
      </c>
      <c r="M14" s="109"/>
      <c r="N14" s="110"/>
      <c r="O14" s="102" t="str">
        <f>IFERROR(INDEX('AS5 DB'!$G$32:$G$66,MATCH(M14,디스크,0))*N14,"-")</f>
        <v>-</v>
      </c>
      <c r="P14" s="103" t="str">
        <f>IFERROR(O14*(1-$O$25),"-")</f>
        <v>-</v>
      </c>
      <c r="Q14" s="87" t="str">
        <f>IFERROR(INDEX('AS5 DB'!$D$32:$D$66,MATCH(M14,디스크,0)),"-")</f>
        <v>-</v>
      </c>
      <c r="S14" s="178" t="s">
        <v>262</v>
      </c>
      <c r="T14" s="179" t="str">
        <f>IFERROR(ROUND(T13*T12*0.9091,1),0) &amp; "TB"</f>
        <v>17.5TB</v>
      </c>
    </row>
    <row r="15" spans="1:20" ht="13.5" customHeight="1" x14ac:dyDescent="0.3">
      <c r="A15" s="23" t="s">
        <v>114</v>
      </c>
      <c r="B15" s="24" t="s">
        <v>78</v>
      </c>
      <c r="C15" s="261" t="str">
        <f>"일금"&amp;IF(MID(I50,1,1)="1",NUMBERSTRING(I50,1),NUMBERSTRING(I50,1))&amp;"원정(VAT포함)"</f>
        <v>일금팔천팔백칠십칠만원정(VAT포함)</v>
      </c>
      <c r="D15" s="261"/>
      <c r="E15" s="261"/>
      <c r="F15" s="26"/>
      <c r="G15" s="26"/>
      <c r="H15" s="15"/>
      <c r="I15" s="15"/>
      <c r="J15" s="15"/>
      <c r="L15" s="71"/>
      <c r="M15" s="72"/>
      <c r="N15" s="70"/>
      <c r="O15" s="83"/>
      <c r="P15" s="104"/>
      <c r="Q15" s="106"/>
      <c r="S15" s="178" t="s">
        <v>410</v>
      </c>
      <c r="T15" s="181">
        <v>1</v>
      </c>
    </row>
    <row r="16" spans="1:20" ht="13.5" customHeight="1" x14ac:dyDescent="0.3">
      <c r="A16" s="23" t="s">
        <v>79</v>
      </c>
      <c r="B16" s="24" t="s">
        <v>78</v>
      </c>
      <c r="C16" s="241" t="str">
        <f>IF(M5="","건 명을 입력하세요",M5)</f>
        <v>DB Inc 클라우드 구축 사업 NAS 제안 건</v>
      </c>
      <c r="D16" s="241"/>
      <c r="E16" s="241"/>
      <c r="F16" s="15"/>
      <c r="G16" s="15"/>
      <c r="H16" s="15"/>
      <c r="I16" s="15"/>
      <c r="J16" s="15"/>
      <c r="L16" s="67" t="s">
        <v>124</v>
      </c>
      <c r="M16" s="109" t="s">
        <v>45</v>
      </c>
      <c r="N16" s="110">
        <v>1</v>
      </c>
      <c r="O16" s="102">
        <f>IFERROR(INDEX('AS5 DB'!$G$67:$G$71,MATCH(M16,NIC,0))*N16,"-")</f>
        <v>10000000</v>
      </c>
      <c r="P16" s="103">
        <f>IFERROR(O16*(1-$O$25),"-")</f>
        <v>1500000.0000000002</v>
      </c>
      <c r="Q16" s="87" t="str">
        <f>IFERROR(INDEX('AS5 DB'!$D$67:$D$71,MATCH(M16,NIC,0)),"-")</f>
        <v>NC-10GO0002</v>
      </c>
      <c r="S16" s="178" t="s">
        <v>263</v>
      </c>
      <c r="T16" s="179" t="str">
        <f>T13 &amp; "D+" &amp; VLOOKUP(T11,RAID표,2,0) &amp; T15 &amp; "S"</f>
        <v>10D+1P+1S</v>
      </c>
    </row>
    <row r="17" spans="1:20" ht="13.5" customHeight="1" thickBot="1" x14ac:dyDescent="0.35">
      <c r="A17" s="23"/>
      <c r="B17" s="24"/>
      <c r="C17" s="24"/>
      <c r="D17" s="24"/>
      <c r="E17" s="15"/>
      <c r="F17" s="15"/>
      <c r="G17" s="15"/>
      <c r="H17" s="15"/>
      <c r="I17" s="15"/>
      <c r="J17" s="15"/>
      <c r="L17" s="67" t="s">
        <v>125</v>
      </c>
      <c r="M17" s="109"/>
      <c r="N17" s="110"/>
      <c r="O17" s="102" t="str">
        <f>IFERROR(INDEX('AS5 DB'!$G$67:$G$71,MATCH(M17,NIC,0))*N17,"-")</f>
        <v>-</v>
      </c>
      <c r="P17" s="103" t="str">
        <f>IFERROR(O17*(1-$O$25),"-")</f>
        <v>-</v>
      </c>
      <c r="Q17" s="87" t="str">
        <f>IFERROR(INDEX('AS5 DB'!$D$67:$D$71,MATCH(M17,NIC,0)),"-")</f>
        <v>-</v>
      </c>
      <c r="S17" s="180" t="s">
        <v>419</v>
      </c>
      <c r="T17" s="182">
        <f>IF(RIGHT(T11,1)="5", T13+2, T13+3)</f>
        <v>12</v>
      </c>
    </row>
    <row r="18" spans="1:20" ht="13.5" customHeight="1" x14ac:dyDescent="0.3">
      <c r="A18" s="262" t="s">
        <v>80</v>
      </c>
      <c r="B18" s="262"/>
      <c r="C18" s="262"/>
      <c r="D18" s="262"/>
      <c r="E18" s="262"/>
      <c r="F18" s="15"/>
      <c r="G18" s="15"/>
      <c r="H18" s="15"/>
      <c r="I18" s="263" t="s">
        <v>81</v>
      </c>
      <c r="J18" s="263"/>
      <c r="L18" s="71"/>
      <c r="M18" s="72"/>
      <c r="N18" s="70"/>
      <c r="O18" s="83"/>
      <c r="P18" s="104"/>
      <c r="Q18" s="106"/>
    </row>
    <row r="19" spans="1:20" ht="13.5" customHeight="1" x14ac:dyDescent="0.3">
      <c r="A19" s="27" t="s">
        <v>82</v>
      </c>
      <c r="B19" s="264" t="s">
        <v>83</v>
      </c>
      <c r="C19" s="264"/>
      <c r="D19" s="264" t="s">
        <v>84</v>
      </c>
      <c r="E19" s="264"/>
      <c r="F19" s="28" t="s">
        <v>85</v>
      </c>
      <c r="G19" s="28" t="s">
        <v>371</v>
      </c>
      <c r="H19" s="27" t="s">
        <v>86</v>
      </c>
      <c r="I19" s="27" t="s">
        <v>87</v>
      </c>
      <c r="J19" s="27" t="s">
        <v>88</v>
      </c>
      <c r="L19" s="67" t="s">
        <v>448</v>
      </c>
      <c r="M19" s="109" t="s">
        <v>437</v>
      </c>
      <c r="N19" s="110">
        <v>0</v>
      </c>
      <c r="O19" s="102">
        <f>IFERROR(INDEX('AS5 DB'!$G$72:$G$78,MATCH(M19,HBA_IB,0))*N19,"-")</f>
        <v>0</v>
      </c>
      <c r="P19" s="103">
        <f>IFERROR(O19*(1-$O$25),"-")</f>
        <v>0</v>
      </c>
      <c r="Q19" s="87" t="str">
        <f>IFERROR(INDEX('AS5 DB'!$D$72:$D$78,MATCH(M19,HBA_IB,0)),"-")</f>
        <v>HB-2016G01</v>
      </c>
      <c r="S19" s="97"/>
    </row>
    <row r="20" spans="1:20" ht="13.5" customHeight="1" x14ac:dyDescent="0.3">
      <c r="A20" s="325" t="str">
        <f>M10&amp;" / "&amp; D42</f>
        <v>AnyStor3000D / - 1.92TB SSD * 24ea</v>
      </c>
      <c r="B20" s="310"/>
      <c r="C20" s="310"/>
      <c r="D20" s="310"/>
      <c r="E20" s="311"/>
      <c r="F20" s="154"/>
      <c r="G20" s="154">
        <v>1</v>
      </c>
      <c r="H20" s="154"/>
      <c r="I20" s="154"/>
      <c r="J20" s="154"/>
      <c r="L20" s="67" t="s">
        <v>449</v>
      </c>
      <c r="M20" s="109" t="s">
        <v>437</v>
      </c>
      <c r="N20" s="110">
        <v>0</v>
      </c>
      <c r="O20" s="102">
        <f>IFERROR(INDEX('AS5 DB'!$G$72:$G$78,MATCH(M20,HBA_IB,0))*N20,"-")</f>
        <v>0</v>
      </c>
      <c r="P20" s="103">
        <f>IFERROR(O20*(1-$O$25),"-")</f>
        <v>0</v>
      </c>
      <c r="Q20" s="87" t="str">
        <f>IFERROR(INDEX('AS5 DB'!$D$72:$D$78,MATCH(M20,HBA_IB,0)),"-")</f>
        <v>HB-2016G01</v>
      </c>
    </row>
    <row r="21" spans="1:20" ht="13.5" customHeight="1" x14ac:dyDescent="0.3">
      <c r="A21" s="29">
        <v>1</v>
      </c>
      <c r="B21" s="270" t="str">
        <f>Q10</f>
        <v>AS-3000D01</v>
      </c>
      <c r="C21" s="299"/>
      <c r="D21" s="272" t="s">
        <v>369</v>
      </c>
      <c r="E21" s="273" t="s">
        <v>299</v>
      </c>
      <c r="F21" s="30">
        <v>2</v>
      </c>
      <c r="G21" s="30"/>
      <c r="H21" s="31">
        <f>O26</f>
        <v>269000000</v>
      </c>
      <c r="I21" s="32">
        <f>P26</f>
        <v>40350000.000000007</v>
      </c>
      <c r="J21" s="30">
        <f>F21*I21</f>
        <v>80700000.000000015</v>
      </c>
      <c r="L21" s="71"/>
      <c r="M21" s="72"/>
      <c r="N21" s="70"/>
      <c r="O21" s="83"/>
      <c r="P21" s="104"/>
      <c r="Q21" s="106"/>
    </row>
    <row r="22" spans="1:20" ht="13.5" customHeight="1" x14ac:dyDescent="0.3">
      <c r="A22" s="33"/>
      <c r="B22" s="265"/>
      <c r="C22" s="266"/>
      <c r="D22" s="267" t="s">
        <v>267</v>
      </c>
      <c r="E22" s="268" t="s">
        <v>267</v>
      </c>
      <c r="F22" s="34"/>
      <c r="G22" s="34"/>
      <c r="H22" s="35"/>
      <c r="I22" s="36"/>
      <c r="J22" s="34"/>
      <c r="L22" s="67" t="s">
        <v>209</v>
      </c>
      <c r="M22" s="109" t="s">
        <v>438</v>
      </c>
      <c r="N22" s="110">
        <v>1</v>
      </c>
      <c r="O22" s="102">
        <f>IFERROR(INDEX('AS5 DB'!$G$106:$G$110,MATCH(M22,AS3000SD워런티,0))*N22,"-")</f>
        <v>8000000</v>
      </c>
      <c r="P22" s="103">
        <f>IFERROR(O22*(1-$O$25),"-")</f>
        <v>1200000.0000000002</v>
      </c>
      <c r="Q22" s="84" t="str">
        <f>IFERROR(INDEX('AS5 DB'!$D$106:$D$110,MATCH(M22,AS3000SD워런티,0)),"-")</f>
        <v>SV-WTA3D-1Y</v>
      </c>
    </row>
    <row r="23" spans="1:20" ht="13.5" customHeight="1" x14ac:dyDescent="0.3">
      <c r="A23" s="33"/>
      <c r="B23" s="265"/>
      <c r="C23" s="266"/>
      <c r="D23" s="276" t="str">
        <f>IFERROR(MID(M11,1,2) * N11 &amp; "GB Memory", "메모리 입력해주세요")</f>
        <v>128GB Memory</v>
      </c>
      <c r="E23" s="277"/>
      <c r="F23" s="34"/>
      <c r="G23" s="34"/>
      <c r="H23" s="35"/>
      <c r="I23" s="36">
        <v>35000000</v>
      </c>
      <c r="J23" s="34" t="s">
        <v>442</v>
      </c>
      <c r="L23" s="71"/>
      <c r="M23" s="72"/>
      <c r="N23" s="70"/>
      <c r="O23" s="83"/>
      <c r="P23" s="104"/>
      <c r="Q23" s="106"/>
    </row>
    <row r="24" spans="1:20" ht="13.5" customHeight="1" thickBot="1" x14ac:dyDescent="0.35">
      <c r="A24" s="33"/>
      <c r="B24" s="265"/>
      <c r="C24" s="266"/>
      <c r="D24" s="267" t="s">
        <v>300</v>
      </c>
      <c r="E24" s="268" t="s">
        <v>300</v>
      </c>
      <c r="F24" s="34"/>
      <c r="G24" s="34"/>
      <c r="H24" s="35"/>
      <c r="I24" s="36"/>
      <c r="J24" s="34" t="s">
        <v>443</v>
      </c>
      <c r="L24" s="67" t="s">
        <v>304</v>
      </c>
      <c r="M24" s="109" t="s">
        <v>492</v>
      </c>
      <c r="N24" s="110">
        <v>1</v>
      </c>
      <c r="O24" s="102">
        <f>IFERROR(INDEX('AS5 DB'!$G$79:$G$80,MATCH(M24,옵션SW,0))*N24,"-")</f>
        <v>30000000</v>
      </c>
      <c r="P24" s="103">
        <f>IFERROR(O24*(1-$O$25),"-")</f>
        <v>4500000.0000000009</v>
      </c>
      <c r="Q24" s="84" t="str">
        <f>IFERROR(INDEX('AS5 DB'!$D$79:$D$80,MATCH(M24,옵션SW,0)),"-")</f>
        <v>HA-GW00001</v>
      </c>
    </row>
    <row r="25" spans="1:20" ht="13.5" customHeight="1" x14ac:dyDescent="0.3">
      <c r="A25" s="33"/>
      <c r="B25" s="265"/>
      <c r="C25" s="266"/>
      <c r="D25" s="267" t="s">
        <v>302</v>
      </c>
      <c r="E25" s="268" t="s">
        <v>301</v>
      </c>
      <c r="F25" s="34"/>
      <c r="G25" s="34"/>
      <c r="H25" s="35"/>
      <c r="I25" s="36"/>
      <c r="J25" s="34"/>
      <c r="L25" s="73"/>
      <c r="M25" s="74"/>
      <c r="N25" s="68" t="s">
        <v>215</v>
      </c>
      <c r="O25" s="164">
        <v>0.85</v>
      </c>
      <c r="P25" s="90"/>
      <c r="Q25" s="77"/>
    </row>
    <row r="26" spans="1:20" ht="13.5" customHeight="1" thickBot="1" x14ac:dyDescent="0.35">
      <c r="A26" s="33"/>
      <c r="B26" s="265"/>
      <c r="C26" s="266"/>
      <c r="D26" s="267" t="s">
        <v>90</v>
      </c>
      <c r="E26" s="268"/>
      <c r="F26" s="34"/>
      <c r="G26" s="34"/>
      <c r="H26" s="35"/>
      <c r="I26" s="36"/>
      <c r="J26" s="34"/>
      <c r="L26" s="75"/>
      <c r="M26" s="76"/>
      <c r="N26" s="69" t="s">
        <v>210</v>
      </c>
      <c r="O26" s="88">
        <f>SUM(O10:O24)</f>
        <v>269000000</v>
      </c>
      <c r="P26" s="89">
        <f>SUM(P10:P24)</f>
        <v>40350000.000000007</v>
      </c>
      <c r="Q26" s="78"/>
    </row>
    <row r="27" spans="1:20" ht="13.5" customHeight="1" thickBot="1" x14ac:dyDescent="0.35">
      <c r="A27" s="33"/>
      <c r="B27" s="265"/>
      <c r="C27" s="266"/>
      <c r="D27" s="267" t="s">
        <v>368</v>
      </c>
      <c r="E27" s="268"/>
      <c r="F27" s="34"/>
      <c r="G27" s="34"/>
      <c r="H27" s="35"/>
      <c r="I27" s="36"/>
      <c r="J27" s="34"/>
      <c r="L27" s="21"/>
      <c r="M27" s="21"/>
      <c r="N27" s="191" t="s">
        <v>459</v>
      </c>
      <c r="O27" s="192"/>
      <c r="P27" s="193">
        <f>ROUNDDOWN(P26,-4)</f>
        <v>40350000</v>
      </c>
    </row>
    <row r="28" spans="1:20" ht="13.5" customHeight="1" x14ac:dyDescent="0.3">
      <c r="A28" s="33"/>
      <c r="B28" s="37"/>
      <c r="C28" s="38"/>
      <c r="D28" s="267" t="s">
        <v>112</v>
      </c>
      <c r="E28" s="268"/>
      <c r="F28" s="34"/>
      <c r="G28" s="34"/>
      <c r="H28" s="35"/>
      <c r="I28" s="36"/>
      <c r="J28" s="34"/>
      <c r="L28" s="111" t="s">
        <v>273</v>
      </c>
      <c r="M28" s="21"/>
      <c r="N28" s="21"/>
      <c r="O28" s="96"/>
      <c r="P28" s="21"/>
    </row>
    <row r="29" spans="1:20" ht="13.5" customHeight="1" x14ac:dyDescent="0.3">
      <c r="A29" s="39"/>
      <c r="B29" s="40"/>
      <c r="C29" s="41"/>
      <c r="D29" s="42"/>
      <c r="E29" s="43"/>
      <c r="F29" s="44"/>
      <c r="G29" s="44"/>
      <c r="H29" s="45"/>
      <c r="I29" s="46"/>
      <c r="J29" s="44"/>
      <c r="L29" s="113" t="s">
        <v>274</v>
      </c>
      <c r="M29" s="21"/>
      <c r="N29" s="21"/>
      <c r="O29" s="17"/>
      <c r="P29" s="17"/>
    </row>
    <row r="30" spans="1:20" ht="13.5" customHeight="1" x14ac:dyDescent="0.3">
      <c r="A30" s="33"/>
      <c r="B30" s="265" t="s">
        <v>91</v>
      </c>
      <c r="C30" s="266"/>
      <c r="D30" s="278" t="s">
        <v>451</v>
      </c>
      <c r="E30" s="279"/>
      <c r="F30" s="34"/>
      <c r="G30" s="34"/>
      <c r="H30" s="35"/>
      <c r="I30" s="36"/>
      <c r="J30" s="34"/>
      <c r="L30" s="16" t="s">
        <v>277</v>
      </c>
      <c r="M30" s="17"/>
      <c r="N30" s="21"/>
      <c r="O30" s="17"/>
      <c r="P30" s="17"/>
    </row>
    <row r="31" spans="1:20" ht="13.5" customHeight="1" x14ac:dyDescent="0.3">
      <c r="A31" s="33"/>
      <c r="B31" s="265"/>
      <c r="C31" s="266"/>
      <c r="D31" s="267" t="s">
        <v>92</v>
      </c>
      <c r="E31" s="268"/>
      <c r="F31" s="34"/>
      <c r="G31" s="34"/>
      <c r="H31" s="35"/>
      <c r="I31" s="47"/>
      <c r="J31" s="34"/>
      <c r="L31" s="21" t="s">
        <v>270</v>
      </c>
      <c r="M31" s="17"/>
      <c r="N31" s="21"/>
      <c r="O31" s="17"/>
      <c r="P31" s="17"/>
    </row>
    <row r="32" spans="1:20" ht="13.5" customHeight="1" x14ac:dyDescent="0.3">
      <c r="A32" s="33"/>
      <c r="B32" s="274"/>
      <c r="C32" s="275"/>
      <c r="D32" s="278" t="s">
        <v>93</v>
      </c>
      <c r="E32" s="279"/>
      <c r="F32" s="34"/>
      <c r="G32" s="34"/>
      <c r="H32" s="35"/>
      <c r="I32" s="36"/>
      <c r="J32" s="34"/>
      <c r="L32" s="21" t="s">
        <v>271</v>
      </c>
      <c r="M32" s="17"/>
      <c r="N32" s="21"/>
      <c r="O32" s="17"/>
      <c r="P32" s="17"/>
    </row>
    <row r="33" spans="1:16" ht="13.5" customHeight="1" x14ac:dyDescent="0.3">
      <c r="A33" s="33"/>
      <c r="B33" s="274"/>
      <c r="C33" s="275"/>
      <c r="D33" s="267" t="s">
        <v>94</v>
      </c>
      <c r="E33" s="268"/>
      <c r="F33" s="34"/>
      <c r="G33" s="34"/>
      <c r="H33" s="35"/>
      <c r="I33" s="36"/>
      <c r="J33" s="34"/>
      <c r="L33" s="111" t="s">
        <v>272</v>
      </c>
      <c r="M33" s="17"/>
      <c r="N33" s="21"/>
      <c r="O33" s="17"/>
      <c r="P33" s="17"/>
    </row>
    <row r="34" spans="1:16" ht="13.5" customHeight="1" x14ac:dyDescent="0.3">
      <c r="A34" s="33"/>
      <c r="B34" s="274"/>
      <c r="C34" s="275"/>
      <c r="D34" s="278" t="s">
        <v>95</v>
      </c>
      <c r="E34" s="279"/>
      <c r="F34" s="34"/>
      <c r="G34" s="34"/>
      <c r="H34" s="35"/>
      <c r="I34" s="36"/>
      <c r="J34" s="34"/>
      <c r="L34" s="21" t="s">
        <v>278</v>
      </c>
      <c r="M34" s="112"/>
      <c r="N34" s="112"/>
      <c r="O34" s="112"/>
      <c r="P34" s="112"/>
    </row>
    <row r="35" spans="1:16" ht="13.5" customHeight="1" x14ac:dyDescent="0.3">
      <c r="A35" s="48"/>
      <c r="B35" s="49"/>
      <c r="C35" s="50"/>
      <c r="D35" s="267" t="s">
        <v>96</v>
      </c>
      <c r="E35" s="268"/>
      <c r="F35" s="34"/>
      <c r="G35" s="34"/>
      <c r="H35" s="35"/>
      <c r="I35" s="36"/>
      <c r="J35" s="34"/>
      <c r="L35" s="301" t="s">
        <v>275</v>
      </c>
      <c r="M35" s="301"/>
      <c r="N35" s="301"/>
      <c r="O35" s="301"/>
      <c r="P35" s="301"/>
    </row>
    <row r="36" spans="1:16" ht="27" customHeight="1" x14ac:dyDescent="0.3">
      <c r="A36" s="51"/>
      <c r="B36" s="274"/>
      <c r="C36" s="275"/>
      <c r="D36" s="267" t="s">
        <v>97</v>
      </c>
      <c r="E36" s="268"/>
      <c r="F36" s="34"/>
      <c r="G36" s="34"/>
      <c r="H36" s="35"/>
      <c r="I36" s="36"/>
      <c r="J36" s="34"/>
      <c r="L36" s="16" t="s">
        <v>276</v>
      </c>
      <c r="M36" s="17"/>
      <c r="N36" s="21"/>
      <c r="O36" s="21"/>
      <c r="P36" s="21"/>
    </row>
    <row r="37" spans="1:16" ht="13.5" customHeight="1" x14ac:dyDescent="0.3">
      <c r="A37" s="52"/>
      <c r="B37" s="274"/>
      <c r="C37" s="275"/>
      <c r="D37" s="267" t="s">
        <v>98</v>
      </c>
      <c r="E37" s="268"/>
      <c r="F37" s="34"/>
      <c r="G37" s="34"/>
      <c r="H37" s="35"/>
      <c r="I37" s="36"/>
      <c r="J37" s="34"/>
      <c r="L37" s="17"/>
      <c r="M37" s="17"/>
      <c r="N37" s="21"/>
      <c r="O37" s="21"/>
      <c r="P37" s="21"/>
    </row>
    <row r="38" spans="1:16" ht="13.5" customHeight="1" x14ac:dyDescent="0.3">
      <c r="A38" s="52"/>
      <c r="B38" s="274"/>
      <c r="C38" s="275"/>
      <c r="D38" s="267" t="s">
        <v>99</v>
      </c>
      <c r="E38" s="268"/>
      <c r="F38" s="34"/>
      <c r="G38" s="34"/>
      <c r="H38" s="35"/>
      <c r="I38" s="36"/>
      <c r="J38" s="34"/>
      <c r="L38" s="21"/>
      <c r="M38" s="17"/>
      <c r="N38" s="17"/>
      <c r="O38" s="21"/>
      <c r="P38" s="21"/>
    </row>
    <row r="39" spans="1:16" ht="13.5" customHeight="1" x14ac:dyDescent="0.3">
      <c r="A39" s="52"/>
      <c r="B39" s="274"/>
      <c r="C39" s="275"/>
      <c r="D39" s="267" t="s">
        <v>100</v>
      </c>
      <c r="E39" s="268"/>
      <c r="F39" s="34"/>
      <c r="G39" s="34"/>
      <c r="H39" s="35"/>
      <c r="I39" s="36"/>
      <c r="J39" s="34"/>
      <c r="L39" s="21" t="s">
        <v>269</v>
      </c>
      <c r="M39" s="17"/>
      <c r="N39" s="21"/>
      <c r="O39" s="21"/>
      <c r="P39" s="21"/>
    </row>
    <row r="40" spans="1:16" ht="13.5" customHeight="1" x14ac:dyDescent="0.3">
      <c r="A40" s="322" t="s">
        <v>374</v>
      </c>
      <c r="B40" s="322"/>
      <c r="C40" s="322"/>
      <c r="D40" s="322"/>
      <c r="E40" s="322"/>
      <c r="F40" s="322"/>
      <c r="G40" s="322"/>
      <c r="H40" s="322"/>
      <c r="I40" s="322"/>
      <c r="J40" s="322"/>
      <c r="L40" s="131"/>
      <c r="M40" s="131"/>
    </row>
    <row r="41" spans="1:16" ht="13.5" customHeight="1" x14ac:dyDescent="0.3">
      <c r="A41" s="48">
        <v>2</v>
      </c>
      <c r="B41" s="274" t="s">
        <v>373</v>
      </c>
      <c r="C41" s="275"/>
      <c r="D41" s="267" t="s">
        <v>439</v>
      </c>
      <c r="E41" s="268"/>
      <c r="F41" s="34"/>
      <c r="G41" s="34"/>
      <c r="H41" s="35"/>
      <c r="I41" s="36"/>
      <c r="J41" s="34"/>
      <c r="L41" s="131"/>
      <c r="M41" s="131"/>
    </row>
    <row r="42" spans="1:16" ht="13.5" customHeight="1" x14ac:dyDescent="0.3">
      <c r="A42" s="52"/>
      <c r="B42" s="323"/>
      <c r="C42" s="324"/>
      <c r="D42" s="267" t="s">
        <v>441</v>
      </c>
      <c r="E42" s="268"/>
      <c r="F42" s="34"/>
      <c r="G42" s="34"/>
      <c r="H42" s="35"/>
      <c r="I42" s="36"/>
      <c r="J42" s="34"/>
    </row>
    <row r="43" spans="1:16" ht="13.5" customHeight="1" x14ac:dyDescent="0.3">
      <c r="A43" s="322" t="s">
        <v>385</v>
      </c>
      <c r="B43" s="322"/>
      <c r="C43" s="322"/>
      <c r="D43" s="322"/>
      <c r="E43" s="322"/>
      <c r="F43" s="322"/>
      <c r="G43" s="322"/>
      <c r="H43" s="322"/>
      <c r="I43" s="322"/>
      <c r="J43" s="322"/>
    </row>
    <row r="44" spans="1:16" ht="13.5" customHeight="1" x14ac:dyDescent="0.3">
      <c r="A44" s="48">
        <v>3</v>
      </c>
      <c r="B44" s="274" t="str">
        <f>Q16</f>
        <v>NC-10GO0002</v>
      </c>
      <c r="C44" s="275"/>
      <c r="D44" s="276" t="str">
        <f>M16</f>
        <v>2 Port 10G Network Interface(Optic)</v>
      </c>
      <c r="E44" s="277"/>
      <c r="F44" s="34">
        <f>N16</f>
        <v>1</v>
      </c>
      <c r="G44" s="34"/>
      <c r="H44" s="35"/>
      <c r="I44" s="36"/>
      <c r="J44" s="34"/>
    </row>
    <row r="45" spans="1:16" ht="13.5" customHeight="1" x14ac:dyDescent="0.3">
      <c r="A45" s="322" t="s">
        <v>384</v>
      </c>
      <c r="B45" s="322"/>
      <c r="C45" s="322"/>
      <c r="D45" s="322"/>
      <c r="E45" s="322"/>
      <c r="F45" s="322"/>
      <c r="G45" s="322"/>
      <c r="H45" s="322"/>
      <c r="I45" s="322"/>
      <c r="J45" s="322"/>
    </row>
    <row r="46" spans="1:16" ht="13.5" customHeight="1" x14ac:dyDescent="0.3">
      <c r="A46" s="48">
        <v>4</v>
      </c>
      <c r="B46" s="296" t="str">
        <f>Q24</f>
        <v>HA-GW00001</v>
      </c>
      <c r="C46" s="275"/>
      <c r="D46" s="276" t="str">
        <f>M24</f>
        <v>AnyStor Clustering License for NAS G/W</v>
      </c>
      <c r="E46" s="277"/>
      <c r="F46" s="34">
        <f>N22</f>
        <v>1</v>
      </c>
      <c r="G46" s="34"/>
      <c r="H46" s="35"/>
      <c r="I46" s="36"/>
      <c r="J46" s="34"/>
    </row>
    <row r="47" spans="1:16" ht="13.5" customHeight="1" x14ac:dyDescent="0.3">
      <c r="A47" s="48">
        <v>5</v>
      </c>
      <c r="B47" s="296" t="str">
        <f>Q22</f>
        <v>SV-WTA3D-1Y</v>
      </c>
      <c r="C47" s="275"/>
      <c r="D47" s="302" t="str">
        <f>M22</f>
        <v>1year warranty for AnyStor GW AS3000D</v>
      </c>
      <c r="E47" s="303"/>
      <c r="F47" s="34">
        <f>N22</f>
        <v>1</v>
      </c>
      <c r="G47" s="34"/>
      <c r="H47" s="35"/>
      <c r="I47" s="36"/>
      <c r="J47" s="34"/>
    </row>
    <row r="48" spans="1:16" ht="13.5" customHeight="1" x14ac:dyDescent="0.3">
      <c r="A48" s="53" t="s">
        <v>105</v>
      </c>
      <c r="B48" s="54"/>
      <c r="C48" s="54"/>
      <c r="D48" s="54"/>
      <c r="E48" s="54"/>
      <c r="F48" s="55"/>
      <c r="G48" s="55"/>
      <c r="H48" s="56" t="s">
        <v>106</v>
      </c>
      <c r="I48" s="282">
        <f>SUM(J21:J46)</f>
        <v>80700000.000000015</v>
      </c>
      <c r="J48" s="283"/>
    </row>
    <row r="49" spans="1:10" ht="13.5" customHeight="1" x14ac:dyDescent="0.3">
      <c r="A49" s="57"/>
      <c r="B49" s="15"/>
      <c r="C49" s="15"/>
      <c r="D49" s="15"/>
      <c r="E49" s="15"/>
      <c r="F49" s="58"/>
      <c r="G49" s="58"/>
      <c r="H49" s="56" t="s">
        <v>107</v>
      </c>
      <c r="I49" s="282">
        <f>I48/10</f>
        <v>8070000.0000000019</v>
      </c>
      <c r="J49" s="283"/>
    </row>
    <row r="50" spans="1:10" ht="13.5" customHeight="1" x14ac:dyDescent="0.3">
      <c r="A50" s="59"/>
      <c r="B50" s="60"/>
      <c r="C50" s="60"/>
      <c r="D50" s="60"/>
      <c r="E50" s="60"/>
      <c r="F50" s="61"/>
      <c r="G50" s="61"/>
      <c r="H50" s="56" t="s">
        <v>108</v>
      </c>
      <c r="I50" s="282">
        <f>SUM(I48:J49)</f>
        <v>88770000.000000015</v>
      </c>
      <c r="J50" s="283"/>
    </row>
    <row r="51" spans="1:10" ht="13.5" customHeight="1" x14ac:dyDescent="0.3">
      <c r="A51" s="284" t="s">
        <v>109</v>
      </c>
      <c r="B51" s="285"/>
      <c r="C51" s="285"/>
      <c r="D51" s="285"/>
      <c r="E51" s="285"/>
      <c r="F51" s="285"/>
      <c r="G51" s="285"/>
      <c r="H51" s="285"/>
      <c r="I51" s="285"/>
      <c r="J51" s="286"/>
    </row>
    <row r="52" spans="1:10" ht="13.5" customHeight="1" x14ac:dyDescent="0.3">
      <c r="A52" s="287" t="str">
        <f>"1. 무상유지보수 기간은 " &amp; F46 &amp; "년(" &amp; 12*F46 &amp;"개월)입니다."</f>
        <v>1. 무상유지보수 기간은 1년(12개월)입니다.</v>
      </c>
      <c r="B52" s="241"/>
      <c r="C52" s="241"/>
      <c r="D52" s="241"/>
      <c r="E52" s="241"/>
      <c r="F52" s="241"/>
      <c r="G52" s="241"/>
      <c r="H52" s="241"/>
      <c r="I52" s="241"/>
      <c r="J52" s="288"/>
    </row>
    <row r="53" spans="1:10" ht="13.5" customHeight="1" x14ac:dyDescent="0.3">
      <c r="A53" s="287" t="s">
        <v>113</v>
      </c>
      <c r="B53" s="241"/>
      <c r="C53" s="241"/>
      <c r="D53" s="241"/>
      <c r="E53" s="241"/>
      <c r="F53" s="241"/>
      <c r="G53" s="241"/>
      <c r="H53" s="241"/>
      <c r="I53" s="241"/>
      <c r="J53" s="288"/>
    </row>
    <row r="54" spans="1:10" ht="13.5" customHeight="1" x14ac:dyDescent="0.3">
      <c r="A54" s="287" t="s">
        <v>110</v>
      </c>
      <c r="B54" s="241"/>
      <c r="C54" s="241"/>
      <c r="D54" s="241"/>
      <c r="E54" s="241"/>
      <c r="F54" s="241"/>
      <c r="G54" s="241"/>
      <c r="H54" s="241"/>
      <c r="I54" s="241"/>
      <c r="J54" s="288"/>
    </row>
    <row r="55" spans="1:10" ht="13.5" customHeight="1" x14ac:dyDescent="0.3">
      <c r="A55" s="293" t="str">
        <f>"4. 위 견적은 "&amp; C16 &amp;"에 한하여 적용 됩니다."</f>
        <v>4. 위 견적은 DB Inc 클라우드 구축 사업 NAS 제안 건에 한하여 적용 됩니다.</v>
      </c>
      <c r="B55" s="294"/>
      <c r="C55" s="294"/>
      <c r="D55" s="294"/>
      <c r="E55" s="294"/>
      <c r="F55" s="294"/>
      <c r="G55" s="294"/>
      <c r="H55" s="294"/>
      <c r="I55" s="294"/>
      <c r="J55" s="295"/>
    </row>
    <row r="56" spans="1:10" ht="13.5" customHeight="1" x14ac:dyDescent="0.3">
      <c r="A56" s="280"/>
      <c r="B56" s="262"/>
      <c r="C56" s="262"/>
      <c r="D56" s="262"/>
      <c r="E56" s="262"/>
      <c r="F56" s="262"/>
      <c r="G56" s="262"/>
      <c r="H56" s="262"/>
      <c r="I56" s="262"/>
      <c r="J56" s="281"/>
    </row>
  </sheetData>
  <mergeCells count="89">
    <mergeCell ref="A20:E20"/>
    <mergeCell ref="A55:J55"/>
    <mergeCell ref="A56:J56"/>
    <mergeCell ref="B25:C25"/>
    <mergeCell ref="B24:C24"/>
    <mergeCell ref="I49:J49"/>
    <mergeCell ref="I50:J50"/>
    <mergeCell ref="A51:J51"/>
    <mergeCell ref="A52:J52"/>
    <mergeCell ref="A53:J53"/>
    <mergeCell ref="D35:E35"/>
    <mergeCell ref="B36:C36"/>
    <mergeCell ref="D36:E36"/>
    <mergeCell ref="B37:C37"/>
    <mergeCell ref="A45:J45"/>
    <mergeCell ref="B38:C38"/>
    <mergeCell ref="A43:J43"/>
    <mergeCell ref="D47:E47"/>
    <mergeCell ref="B47:C47"/>
    <mergeCell ref="B41:C41"/>
    <mergeCell ref="D41:E41"/>
    <mergeCell ref="B42:C42"/>
    <mergeCell ref="D42:E42"/>
    <mergeCell ref="A54:J54"/>
    <mergeCell ref="I48:J48"/>
    <mergeCell ref="B44:C44"/>
    <mergeCell ref="D44:E44"/>
    <mergeCell ref="B46:C46"/>
    <mergeCell ref="D46:E46"/>
    <mergeCell ref="L35:P35"/>
    <mergeCell ref="B32:C32"/>
    <mergeCell ref="D32:E32"/>
    <mergeCell ref="B33:C33"/>
    <mergeCell ref="D33:E33"/>
    <mergeCell ref="B34:C34"/>
    <mergeCell ref="D34:E34"/>
    <mergeCell ref="D38:E38"/>
    <mergeCell ref="B39:C39"/>
    <mergeCell ref="D39:E39"/>
    <mergeCell ref="A40:J40"/>
    <mergeCell ref="D28:E28"/>
    <mergeCell ref="B30:C30"/>
    <mergeCell ref="D30:E30"/>
    <mergeCell ref="B31:C31"/>
    <mergeCell ref="D31:E31"/>
    <mergeCell ref="D37:E37"/>
    <mergeCell ref="B27:C27"/>
    <mergeCell ref="D27:E27"/>
    <mergeCell ref="B22:C22"/>
    <mergeCell ref="D22:E22"/>
    <mergeCell ref="C15:E15"/>
    <mergeCell ref="C16:E16"/>
    <mergeCell ref="A18:E18"/>
    <mergeCell ref="B21:C21"/>
    <mergeCell ref="D21:E21"/>
    <mergeCell ref="B26:C26"/>
    <mergeCell ref="D23:E23"/>
    <mergeCell ref="B23:C23"/>
    <mergeCell ref="D24:E24"/>
    <mergeCell ref="D25:E25"/>
    <mergeCell ref="D26:E26"/>
    <mergeCell ref="B19:C19"/>
    <mergeCell ref="I18:J18"/>
    <mergeCell ref="I12:J13"/>
    <mergeCell ref="A10:B10"/>
    <mergeCell ref="C10:D10"/>
    <mergeCell ref="D19:E19"/>
    <mergeCell ref="A12:B12"/>
    <mergeCell ref="C12:D12"/>
    <mergeCell ref="H12:H13"/>
    <mergeCell ref="A13:B13"/>
    <mergeCell ref="C13:D13"/>
    <mergeCell ref="D1:J1"/>
    <mergeCell ref="D2:J2"/>
    <mergeCell ref="A4:J5"/>
    <mergeCell ref="A7:B7"/>
    <mergeCell ref="C7:D7"/>
    <mergeCell ref="I7:J7"/>
    <mergeCell ref="S9:T10"/>
    <mergeCell ref="A8:B8"/>
    <mergeCell ref="C8:D8"/>
    <mergeCell ref="I8:J8"/>
    <mergeCell ref="A9:B9"/>
    <mergeCell ref="C9:D9"/>
    <mergeCell ref="I9:J9"/>
    <mergeCell ref="H10:H11"/>
    <mergeCell ref="I10:J11"/>
    <mergeCell ref="A11:B11"/>
    <mergeCell ref="C11:D11"/>
  </mergeCells>
  <phoneticPr fontId="2" type="noConversion"/>
  <dataValidations count="9">
    <dataValidation type="list" allowBlank="1" showInputMessage="1" showErrorMessage="1" sqref="M19:M20">
      <formula1>HBA_IB</formula1>
    </dataValidation>
    <dataValidation type="list" allowBlank="1" showInputMessage="1" showErrorMessage="1" sqref="T11">
      <formula1>RAID</formula1>
    </dataValidation>
    <dataValidation type="list" allowBlank="1" showInputMessage="1" showErrorMessage="1" sqref="M24">
      <formula1>옵션SW</formula1>
    </dataValidation>
    <dataValidation type="list" allowBlank="1" showInputMessage="1" showErrorMessage="1" sqref="M22">
      <formula1>AS3000SD워런티</formula1>
    </dataValidation>
    <dataValidation type="list" allowBlank="1" showInputMessage="1" showErrorMessage="1" sqref="M16:M17">
      <formula1>NIC</formula1>
    </dataValidation>
    <dataValidation type="list" allowBlank="1" showInputMessage="1" showErrorMessage="1" sqref="M13:M14">
      <formula1>디스크</formula1>
    </dataValidation>
    <dataValidation type="list" allowBlank="1" showInputMessage="1" showErrorMessage="1" sqref="M11">
      <formula1>메모리</formula1>
    </dataValidation>
    <dataValidation type="list" allowBlank="1" showInputMessage="1" showErrorMessage="1" sqref="M10">
      <formula1>AS3000SD</formula1>
    </dataValidation>
    <dataValidation type="list" allowBlank="1" showInputMessage="1" showErrorMessage="1" sqref="O5 P2">
      <formula1>견적담당자</formula1>
    </dataValidation>
  </dataValidations>
  <hyperlinks>
    <hyperlink ref="I9" r:id="rId1" display="gspark@gluesys.com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CopyWorksheetToNewWorkbook">
                <anchor moveWithCells="1" sizeWithCells="1">
                  <from>
                    <xdr:col>15</xdr:col>
                    <xdr:colOff>1019175</xdr:colOff>
                    <xdr:row>27</xdr:row>
                    <xdr:rowOff>0</xdr:rowOff>
                  </from>
                  <to>
                    <xdr:col>17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수식제거">
                <anchor moveWithCells="1" sizeWithCells="1">
                  <from>
                    <xdr:col>15</xdr:col>
                    <xdr:colOff>1019175</xdr:colOff>
                    <xdr:row>30</xdr:row>
                    <xdr:rowOff>123825</xdr:rowOff>
                  </from>
                  <to>
                    <xdr:col>17</xdr:col>
                    <xdr:colOff>9525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del_erase">
                <anchor moveWithCells="1" sizeWithCells="1">
                  <from>
                    <xdr:col>15</xdr:col>
                    <xdr:colOff>1009650</xdr:colOff>
                    <xdr:row>35</xdr:row>
                    <xdr:rowOff>85725</xdr:rowOff>
                  </from>
                  <to>
                    <xdr:col>17</xdr:col>
                    <xdr:colOff>19050</xdr:colOff>
                    <xdr:row>38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1"/>
  <sheetViews>
    <sheetView topLeftCell="A10" workbookViewId="0">
      <selection activeCell="D37" sqref="D37:E37"/>
    </sheetView>
  </sheetViews>
  <sheetFormatPr defaultRowHeight="16.5" x14ac:dyDescent="0.3"/>
  <cols>
    <col min="2" max="2" width="9" customWidth="1"/>
    <col min="3" max="3" width="1.875" customWidth="1"/>
    <col min="5" max="5" width="24.875" customWidth="1"/>
  </cols>
  <sheetData>
    <row r="1" spans="1:9" x14ac:dyDescent="0.3">
      <c r="A1" s="15"/>
      <c r="B1" s="15"/>
      <c r="C1" s="15"/>
      <c r="D1" s="241" t="s">
        <v>61</v>
      </c>
      <c r="E1" s="241"/>
      <c r="F1" s="241"/>
      <c r="G1" s="241"/>
      <c r="H1" s="241"/>
      <c r="I1" s="241"/>
    </row>
    <row r="2" spans="1:9" x14ac:dyDescent="0.3">
      <c r="A2" s="15"/>
      <c r="B2" s="15"/>
      <c r="C2" s="15"/>
      <c r="D2" s="241" t="s">
        <v>486</v>
      </c>
      <c r="E2" s="241"/>
      <c r="F2" s="241"/>
      <c r="G2" s="241"/>
      <c r="H2" s="241"/>
      <c r="I2" s="241"/>
    </row>
    <row r="3" spans="1:9" x14ac:dyDescent="0.3">
      <c r="A3" s="15"/>
      <c r="B3" s="15"/>
      <c r="C3" s="15"/>
      <c r="D3" s="15"/>
      <c r="E3" s="15"/>
      <c r="F3" s="15"/>
      <c r="G3" s="15"/>
      <c r="H3" s="15"/>
      <c r="I3" s="15"/>
    </row>
    <row r="4" spans="1:9" ht="16.5" customHeight="1" x14ac:dyDescent="0.3">
      <c r="A4" s="242" t="s">
        <v>63</v>
      </c>
      <c r="B4" s="242"/>
      <c r="C4" s="242"/>
      <c r="D4" s="242"/>
      <c r="E4" s="242"/>
      <c r="F4" s="242"/>
      <c r="G4" s="242"/>
      <c r="H4" s="242"/>
      <c r="I4" s="242"/>
    </row>
    <row r="5" spans="1:9" ht="16.5" customHeight="1" x14ac:dyDescent="0.3">
      <c r="A5" s="242"/>
      <c r="B5" s="242"/>
      <c r="C5" s="242"/>
      <c r="D5" s="242"/>
      <c r="E5" s="242"/>
      <c r="F5" s="242"/>
      <c r="G5" s="242"/>
      <c r="H5" s="242"/>
      <c r="I5" s="242"/>
    </row>
    <row r="6" spans="1:9" x14ac:dyDescent="0.3">
      <c r="A6" s="15"/>
      <c r="B6" s="15"/>
      <c r="C6" s="15"/>
      <c r="D6" s="15"/>
      <c r="E6" s="15"/>
      <c r="F6" s="15"/>
      <c r="G6" s="15"/>
      <c r="H6" s="15"/>
      <c r="I6" s="15"/>
    </row>
    <row r="7" spans="1:9" x14ac:dyDescent="0.3">
      <c r="A7" s="243" t="s">
        <v>64</v>
      </c>
      <c r="B7" s="243"/>
      <c r="C7" s="244">
        <f>K8</f>
        <v>0</v>
      </c>
      <c r="D7" s="245"/>
      <c r="E7" s="15"/>
      <c r="F7" s="15"/>
      <c r="G7" s="22" t="s">
        <v>65</v>
      </c>
      <c r="H7" s="246">
        <f>O2</f>
        <v>0</v>
      </c>
      <c r="I7" s="246"/>
    </row>
    <row r="8" spans="1:9" x14ac:dyDescent="0.3">
      <c r="A8" s="243" t="s">
        <v>66</v>
      </c>
      <c r="B8" s="243"/>
      <c r="C8" s="245" t="str">
        <f>L2 &amp; " 귀중"</f>
        <v xml:space="preserve"> 귀중</v>
      </c>
      <c r="D8" s="245"/>
      <c r="E8" s="15"/>
      <c r="F8" s="15"/>
      <c r="G8" s="22" t="s">
        <v>67</v>
      </c>
      <c r="H8" s="246" t="str">
        <f>IFERROR(VLOOKUP(H7,견적담당자INFO,2,0),"")</f>
        <v/>
      </c>
      <c r="I8" s="246"/>
    </row>
    <row r="9" spans="1:9" x14ac:dyDescent="0.3">
      <c r="A9" s="243" t="s">
        <v>68</v>
      </c>
      <c r="B9" s="243"/>
      <c r="C9" s="245" t="str">
        <f>L3 &amp; "님"</f>
        <v>님</v>
      </c>
      <c r="D9" s="245"/>
      <c r="E9" s="15"/>
      <c r="F9" s="15"/>
      <c r="G9" s="22" t="s">
        <v>69</v>
      </c>
      <c r="H9" s="247" t="str">
        <f>IFERROR(VLOOKUP(H7,견적담당자INFO,3,0),"")</f>
        <v/>
      </c>
      <c r="I9" s="246"/>
    </row>
    <row r="10" spans="1:9" x14ac:dyDescent="0.3">
      <c r="A10" s="248" t="s">
        <v>70</v>
      </c>
      <c r="B10" s="249"/>
      <c r="C10" s="250">
        <f>L4</f>
        <v>0</v>
      </c>
      <c r="D10" s="251"/>
      <c r="E10" s="15"/>
      <c r="F10" s="15"/>
      <c r="G10" s="252" t="s">
        <v>71</v>
      </c>
      <c r="H10" s="254" t="s">
        <v>72</v>
      </c>
      <c r="I10" s="254"/>
    </row>
    <row r="11" spans="1:9" x14ac:dyDescent="0.3">
      <c r="A11" s="243" t="s">
        <v>73</v>
      </c>
      <c r="B11" s="243"/>
      <c r="C11" s="256">
        <f>O3</f>
        <v>0</v>
      </c>
      <c r="D11" s="256"/>
      <c r="E11" s="15"/>
      <c r="F11" s="15"/>
      <c r="G11" s="253"/>
      <c r="H11" s="255"/>
      <c r="I11" s="255"/>
    </row>
    <row r="12" spans="1:9" x14ac:dyDescent="0.3">
      <c r="A12" s="243" t="s">
        <v>74</v>
      </c>
      <c r="B12" s="243"/>
      <c r="C12" s="256">
        <f>IFERROR(C11+15,"")</f>
        <v>15</v>
      </c>
      <c r="D12" s="245"/>
      <c r="E12" s="15"/>
      <c r="F12" s="15"/>
      <c r="G12" s="252" t="s">
        <v>75</v>
      </c>
      <c r="H12" s="257" t="s">
        <v>76</v>
      </c>
      <c r="I12" s="258"/>
    </row>
    <row r="13" spans="1:9" x14ac:dyDescent="0.3">
      <c r="A13" s="243" t="s">
        <v>77</v>
      </c>
      <c r="B13" s="243"/>
      <c r="C13" s="245" t="s">
        <v>111</v>
      </c>
      <c r="D13" s="245"/>
      <c r="E13" s="15"/>
      <c r="F13" s="15"/>
      <c r="G13" s="253"/>
      <c r="H13" s="259"/>
      <c r="I13" s="260"/>
    </row>
    <row r="14" spans="1:9" x14ac:dyDescent="0.3">
      <c r="A14" s="23"/>
      <c r="B14" s="23"/>
      <c r="C14" s="24"/>
      <c r="D14" s="24"/>
      <c r="E14" s="15"/>
      <c r="F14" s="15"/>
      <c r="G14" s="23"/>
      <c r="H14" s="25"/>
      <c r="I14" s="25"/>
    </row>
    <row r="15" spans="1:9" x14ac:dyDescent="0.3">
      <c r="A15" s="23" t="s">
        <v>114</v>
      </c>
      <c r="B15" s="24" t="s">
        <v>78</v>
      </c>
      <c r="C15" s="261" t="str">
        <f>"일금"&amp;IF(MID(H45,1,1)="1",NUMBERSTRING(H45,1),NUMBERSTRING(H45,1))&amp;"원정(VAT포함)"</f>
        <v>일금영원정(VAT포함)</v>
      </c>
      <c r="D15" s="261"/>
      <c r="E15" s="261"/>
      <c r="F15" s="26"/>
      <c r="G15" s="15"/>
      <c r="H15" s="15"/>
      <c r="I15" s="15"/>
    </row>
    <row r="16" spans="1:9" x14ac:dyDescent="0.3">
      <c r="A16" s="23" t="s">
        <v>79</v>
      </c>
      <c r="B16" s="24" t="s">
        <v>78</v>
      </c>
      <c r="C16" s="241" t="str">
        <f>IF(L5="","건 명을 입력하세요",L5)</f>
        <v>건 명을 입력하세요</v>
      </c>
      <c r="D16" s="241"/>
      <c r="E16" s="241"/>
      <c r="F16" s="15"/>
      <c r="G16" s="15"/>
      <c r="H16" s="15"/>
      <c r="I16" s="15"/>
    </row>
    <row r="17" spans="1:9" x14ac:dyDescent="0.3">
      <c r="A17" s="23"/>
      <c r="B17" s="24"/>
      <c r="C17" s="24"/>
      <c r="D17" s="24"/>
      <c r="E17" s="15"/>
      <c r="F17" s="15"/>
      <c r="G17" s="15"/>
      <c r="H17" s="15"/>
      <c r="I17" s="15"/>
    </row>
    <row r="18" spans="1:9" x14ac:dyDescent="0.3">
      <c r="A18" s="262" t="s">
        <v>80</v>
      </c>
      <c r="B18" s="262"/>
      <c r="C18" s="262"/>
      <c r="D18" s="262"/>
      <c r="E18" s="262"/>
      <c r="F18" s="15"/>
      <c r="G18" s="15"/>
      <c r="H18" s="326" t="s">
        <v>81</v>
      </c>
      <c r="I18" s="326"/>
    </row>
    <row r="19" spans="1:9" x14ac:dyDescent="0.3">
      <c r="A19" s="203" t="s">
        <v>82</v>
      </c>
      <c r="B19" s="264" t="s">
        <v>83</v>
      </c>
      <c r="C19" s="264"/>
      <c r="D19" s="264" t="s">
        <v>84</v>
      </c>
      <c r="E19" s="264"/>
      <c r="F19" s="28" t="s">
        <v>85</v>
      </c>
      <c r="G19" s="203" t="s">
        <v>86</v>
      </c>
      <c r="H19" s="203" t="s">
        <v>87</v>
      </c>
      <c r="I19" s="203" t="s">
        <v>88</v>
      </c>
    </row>
    <row r="20" spans="1:9" x14ac:dyDescent="0.3">
      <c r="A20" s="269" t="str">
        <f>IFERROR(L10 &amp; "," &amp; S11 &amp; "(" &amp; S16 &amp; ") Usable " &amp; S14,"표를 완성해주세요")</f>
        <v xml:space="preserve">,() Usable </v>
      </c>
      <c r="B20" s="269"/>
      <c r="C20" s="269"/>
      <c r="D20" s="269"/>
      <c r="E20" s="269"/>
      <c r="F20" s="269"/>
      <c r="G20" s="269"/>
      <c r="H20" s="269"/>
      <c r="I20" s="269"/>
    </row>
    <row r="21" spans="1:9" x14ac:dyDescent="0.3">
      <c r="A21" s="29">
        <v>1</v>
      </c>
      <c r="B21" s="270">
        <f>P10</f>
        <v>0</v>
      </c>
      <c r="C21" s="299"/>
      <c r="D21" s="272" t="s">
        <v>268</v>
      </c>
      <c r="E21" s="273"/>
      <c r="F21" s="30">
        <f>M10</f>
        <v>0</v>
      </c>
      <c r="G21" s="31">
        <f>N26</f>
        <v>0</v>
      </c>
      <c r="H21" s="32">
        <f>O27</f>
        <v>0</v>
      </c>
      <c r="I21" s="30">
        <f>F21*H21</f>
        <v>0</v>
      </c>
    </row>
    <row r="22" spans="1:9" x14ac:dyDescent="0.3">
      <c r="A22" s="33"/>
      <c r="B22" s="274"/>
      <c r="C22" s="275"/>
      <c r="D22" s="276" t="str">
        <f>IFERROR(MID(L11,1,2) * M11 &amp; "GB Memory", "메모리 입력해주세요")</f>
        <v>메모리 입력해주세요</v>
      </c>
      <c r="E22" s="277"/>
      <c r="F22" s="34"/>
      <c r="G22" s="35"/>
      <c r="H22" s="36"/>
      <c r="I22" s="34"/>
    </row>
    <row r="23" spans="1:9" x14ac:dyDescent="0.3">
      <c r="A23" s="33"/>
      <c r="B23" s="265"/>
      <c r="C23" s="266"/>
      <c r="D23" s="267" t="s">
        <v>90</v>
      </c>
      <c r="E23" s="268"/>
      <c r="F23" s="34"/>
      <c r="G23" s="35"/>
      <c r="H23" s="36"/>
      <c r="I23" s="34"/>
    </row>
    <row r="24" spans="1:9" x14ac:dyDescent="0.3">
      <c r="A24" s="33"/>
      <c r="B24" s="265"/>
      <c r="C24" s="266"/>
      <c r="D24" s="276" t="str">
        <f>IFERROR("Hot-Swappable " &amp; RIGHT(L10,LEN(L10)-FIND("-",L10)) &amp; " Disk Bay","표에서 모델을 골라주세요")</f>
        <v>표에서 모델을 골라주세요</v>
      </c>
      <c r="E24" s="277"/>
      <c r="F24" s="34"/>
      <c r="G24" s="35"/>
      <c r="H24" s="36"/>
      <c r="I24" s="34"/>
    </row>
    <row r="25" spans="1:9" x14ac:dyDescent="0.3">
      <c r="A25" s="33"/>
      <c r="B25" s="204"/>
      <c r="C25" s="205"/>
      <c r="D25" s="267" t="s">
        <v>112</v>
      </c>
      <c r="E25" s="268"/>
      <c r="F25" s="34"/>
      <c r="G25" s="35"/>
      <c r="H25" s="36"/>
      <c r="I25" s="34"/>
    </row>
    <row r="26" spans="1:9" x14ac:dyDescent="0.3">
      <c r="A26" s="39"/>
      <c r="B26" s="40"/>
      <c r="C26" s="41"/>
      <c r="D26" s="42"/>
      <c r="E26" s="43"/>
      <c r="F26" s="44"/>
      <c r="G26" s="45"/>
      <c r="H26" s="46"/>
      <c r="I26" s="44"/>
    </row>
    <row r="27" spans="1:9" x14ac:dyDescent="0.3">
      <c r="A27" s="33"/>
      <c r="B27" s="265" t="s">
        <v>91</v>
      </c>
      <c r="C27" s="266"/>
      <c r="D27" s="278" t="s">
        <v>451</v>
      </c>
      <c r="E27" s="279"/>
      <c r="F27" s="34"/>
      <c r="G27" s="35"/>
      <c r="H27" s="36"/>
      <c r="I27" s="34"/>
    </row>
    <row r="28" spans="1:9" x14ac:dyDescent="0.3">
      <c r="A28" s="33"/>
      <c r="B28" s="265"/>
      <c r="C28" s="266"/>
      <c r="D28" s="267" t="s">
        <v>92</v>
      </c>
      <c r="E28" s="268"/>
      <c r="F28" s="34"/>
      <c r="G28" s="35"/>
      <c r="H28" s="47"/>
      <c r="I28" s="34"/>
    </row>
    <row r="29" spans="1:9" x14ac:dyDescent="0.3">
      <c r="A29" s="33"/>
      <c r="B29" s="274"/>
      <c r="C29" s="275"/>
      <c r="D29" s="278" t="s">
        <v>93</v>
      </c>
      <c r="E29" s="279"/>
      <c r="F29" s="34"/>
      <c r="G29" s="35"/>
      <c r="H29" s="36"/>
      <c r="I29" s="34"/>
    </row>
    <row r="30" spans="1:9" x14ac:dyDescent="0.3">
      <c r="A30" s="33"/>
      <c r="B30" s="274"/>
      <c r="C30" s="275"/>
      <c r="D30" s="267" t="s">
        <v>94</v>
      </c>
      <c r="E30" s="268"/>
      <c r="F30" s="34"/>
      <c r="G30" s="35"/>
      <c r="H30" s="36"/>
      <c r="I30" s="34"/>
    </row>
    <row r="31" spans="1:9" x14ac:dyDescent="0.3">
      <c r="A31" s="33"/>
      <c r="B31" s="274"/>
      <c r="C31" s="275"/>
      <c r="D31" s="278" t="s">
        <v>95</v>
      </c>
      <c r="E31" s="279"/>
      <c r="F31" s="34"/>
      <c r="G31" s="35"/>
      <c r="H31" s="36"/>
      <c r="I31" s="34"/>
    </row>
    <row r="32" spans="1:9" x14ac:dyDescent="0.3">
      <c r="A32" s="48"/>
      <c r="B32" s="206"/>
      <c r="C32" s="207"/>
      <c r="D32" s="267" t="s">
        <v>96</v>
      </c>
      <c r="E32" s="268"/>
      <c r="F32" s="34"/>
      <c r="G32" s="35"/>
      <c r="H32" s="36"/>
      <c r="I32" s="34"/>
    </row>
    <row r="33" spans="1:9" x14ac:dyDescent="0.3">
      <c r="A33" s="51"/>
      <c r="B33" s="274"/>
      <c r="C33" s="275"/>
      <c r="D33" s="267" t="s">
        <v>97</v>
      </c>
      <c r="E33" s="268"/>
      <c r="F33" s="34"/>
      <c r="G33" s="35"/>
      <c r="H33" s="36"/>
      <c r="I33" s="34"/>
    </row>
    <row r="34" spans="1:9" x14ac:dyDescent="0.3">
      <c r="A34" s="52"/>
      <c r="B34" s="274"/>
      <c r="C34" s="275"/>
      <c r="D34" s="267" t="s">
        <v>98</v>
      </c>
      <c r="E34" s="268"/>
      <c r="F34" s="34"/>
      <c r="G34" s="35"/>
      <c r="H34" s="36"/>
      <c r="I34" s="34"/>
    </row>
    <row r="35" spans="1:9" x14ac:dyDescent="0.3">
      <c r="A35" s="52"/>
      <c r="B35" s="274"/>
      <c r="C35" s="275"/>
      <c r="D35" s="267" t="s">
        <v>99</v>
      </c>
      <c r="E35" s="268"/>
      <c r="F35" s="34"/>
      <c r="G35" s="35"/>
      <c r="H35" s="36"/>
      <c r="I35" s="34"/>
    </row>
    <row r="36" spans="1:9" x14ac:dyDescent="0.3">
      <c r="A36" s="52"/>
      <c r="B36" s="274"/>
      <c r="C36" s="275"/>
      <c r="D36" s="267" t="s">
        <v>100</v>
      </c>
      <c r="E36" s="268"/>
      <c r="F36" s="34"/>
      <c r="G36" s="35"/>
      <c r="H36" s="36"/>
      <c r="I36" s="34"/>
    </row>
    <row r="37" spans="1:9" x14ac:dyDescent="0.3">
      <c r="A37" s="52"/>
      <c r="B37" s="206"/>
      <c r="C37" s="207"/>
      <c r="D37" s="267" t="s">
        <v>101</v>
      </c>
      <c r="E37" s="268"/>
      <c r="F37" s="34"/>
      <c r="G37" s="35"/>
      <c r="H37" s="36"/>
      <c r="I37" s="34"/>
    </row>
    <row r="38" spans="1:9" x14ac:dyDescent="0.3">
      <c r="A38" s="39"/>
      <c r="B38" s="291"/>
      <c r="C38" s="292"/>
      <c r="D38" s="289"/>
      <c r="E38" s="290"/>
      <c r="F38" s="44"/>
      <c r="G38" s="45"/>
      <c r="H38" s="46"/>
      <c r="I38" s="44"/>
    </row>
    <row r="39" spans="1:9" x14ac:dyDescent="0.3">
      <c r="A39" s="48">
        <v>2</v>
      </c>
      <c r="B39" s="274">
        <f>P13</f>
        <v>0</v>
      </c>
      <c r="C39" s="275"/>
      <c r="D39" s="276">
        <f>L13</f>
        <v>0</v>
      </c>
      <c r="E39" s="277"/>
      <c r="F39" s="34">
        <f>M13</f>
        <v>0</v>
      </c>
      <c r="G39" s="35"/>
      <c r="H39" s="36"/>
      <c r="I39" s="34"/>
    </row>
    <row r="40" spans="1:9" x14ac:dyDescent="0.3">
      <c r="A40" s="48">
        <v>3</v>
      </c>
      <c r="B40" s="274">
        <f>P16</f>
        <v>0</v>
      </c>
      <c r="C40" s="275"/>
      <c r="D40" s="276">
        <f>L16</f>
        <v>0</v>
      </c>
      <c r="E40" s="277"/>
      <c r="F40" s="34">
        <f>M16</f>
        <v>0</v>
      </c>
      <c r="G40" s="35"/>
      <c r="H40" s="36">
        <f>O16</f>
        <v>0</v>
      </c>
      <c r="I40" s="34">
        <f>H40*F40</f>
        <v>0</v>
      </c>
    </row>
    <row r="41" spans="1:9" x14ac:dyDescent="0.3">
      <c r="A41" s="48">
        <v>4</v>
      </c>
      <c r="B41" s="274">
        <f>P17</f>
        <v>0</v>
      </c>
      <c r="C41" s="275"/>
      <c r="D41" s="276">
        <f>L17</f>
        <v>0</v>
      </c>
      <c r="E41" s="277"/>
      <c r="F41" s="34">
        <v>1</v>
      </c>
      <c r="G41" s="35"/>
      <c r="H41" s="36">
        <f>O17</f>
        <v>0</v>
      </c>
      <c r="I41" s="34">
        <f>H41*F41</f>
        <v>0</v>
      </c>
    </row>
    <row r="42" spans="1:9" x14ac:dyDescent="0.3">
      <c r="A42" s="48">
        <v>5</v>
      </c>
      <c r="B42" s="296">
        <f>P22</f>
        <v>0</v>
      </c>
      <c r="C42" s="275"/>
      <c r="D42" s="276">
        <f>L22</f>
        <v>0</v>
      </c>
      <c r="E42" s="277"/>
      <c r="F42" s="34">
        <f>M22</f>
        <v>0</v>
      </c>
      <c r="G42" s="35"/>
      <c r="H42" s="36"/>
      <c r="I42" s="34"/>
    </row>
    <row r="43" spans="1:9" x14ac:dyDescent="0.3">
      <c r="A43" s="53" t="s">
        <v>105</v>
      </c>
      <c r="B43" s="54"/>
      <c r="C43" s="54"/>
      <c r="D43" s="54"/>
      <c r="E43" s="54"/>
      <c r="F43" s="55"/>
      <c r="G43" s="202" t="s">
        <v>106</v>
      </c>
      <c r="H43" s="282">
        <f>I21</f>
        <v>0</v>
      </c>
      <c r="I43" s="283"/>
    </row>
    <row r="44" spans="1:9" x14ac:dyDescent="0.3">
      <c r="A44" s="57"/>
      <c r="B44" s="15"/>
      <c r="C44" s="15"/>
      <c r="D44" s="15"/>
      <c r="E44" s="15"/>
      <c r="F44" s="58"/>
      <c r="G44" s="202" t="s">
        <v>107</v>
      </c>
      <c r="H44" s="282">
        <f>H43/10</f>
        <v>0</v>
      </c>
      <c r="I44" s="283"/>
    </row>
    <row r="45" spans="1:9" x14ac:dyDescent="0.3">
      <c r="A45" s="59"/>
      <c r="B45" s="60"/>
      <c r="C45" s="60"/>
      <c r="D45" s="60"/>
      <c r="E45" s="60"/>
      <c r="F45" s="61"/>
      <c r="G45" s="202" t="s">
        <v>108</v>
      </c>
      <c r="H45" s="282">
        <f>H44+H43</f>
        <v>0</v>
      </c>
      <c r="I45" s="283"/>
    </row>
    <row r="46" spans="1:9" x14ac:dyDescent="0.3">
      <c r="A46" s="284" t="s">
        <v>109</v>
      </c>
      <c r="B46" s="285"/>
      <c r="C46" s="285"/>
      <c r="D46" s="285"/>
      <c r="E46" s="285"/>
      <c r="F46" s="285"/>
      <c r="G46" s="285"/>
      <c r="H46" s="285"/>
      <c r="I46" s="286"/>
    </row>
    <row r="47" spans="1:9" x14ac:dyDescent="0.3">
      <c r="A47" s="287" t="str">
        <f>"1. 무상유지보수 기간은 " &amp; F42 &amp; "년(" &amp; 12*F42 &amp;"개월)입니다."</f>
        <v>1. 무상유지보수 기간은 0년(0개월)입니다.</v>
      </c>
      <c r="B47" s="241"/>
      <c r="C47" s="241"/>
      <c r="D47" s="241"/>
      <c r="E47" s="241"/>
      <c r="F47" s="241"/>
      <c r="G47" s="241"/>
      <c r="H47" s="241"/>
      <c r="I47" s="288"/>
    </row>
    <row r="48" spans="1:9" x14ac:dyDescent="0.3">
      <c r="A48" s="287" t="s">
        <v>113</v>
      </c>
      <c r="B48" s="241"/>
      <c r="C48" s="241"/>
      <c r="D48" s="241"/>
      <c r="E48" s="241"/>
      <c r="F48" s="241"/>
      <c r="G48" s="241"/>
      <c r="H48" s="241"/>
      <c r="I48" s="288"/>
    </row>
    <row r="49" spans="1:9" x14ac:dyDescent="0.3">
      <c r="A49" s="287" t="s">
        <v>110</v>
      </c>
      <c r="B49" s="241"/>
      <c r="C49" s="241"/>
      <c r="D49" s="241"/>
      <c r="E49" s="241"/>
      <c r="F49" s="241"/>
      <c r="G49" s="241"/>
      <c r="H49" s="241"/>
      <c r="I49" s="288"/>
    </row>
    <row r="50" spans="1:9" x14ac:dyDescent="0.3">
      <c r="A50" s="293" t="str">
        <f>"4. 위 견적은 "&amp; C16 &amp;"에 한하여 적용 됩니다."</f>
        <v>4. 위 견적은 건 명을 입력하세요에 한하여 적용 됩니다.</v>
      </c>
      <c r="B50" s="294"/>
      <c r="C50" s="294"/>
      <c r="D50" s="294"/>
      <c r="E50" s="294"/>
      <c r="F50" s="294"/>
      <c r="G50" s="294"/>
      <c r="H50" s="294"/>
      <c r="I50" s="295"/>
    </row>
    <row r="51" spans="1:9" x14ac:dyDescent="0.3">
      <c r="A51" s="280"/>
      <c r="B51" s="262"/>
      <c r="C51" s="262"/>
      <c r="D51" s="262"/>
      <c r="E51" s="262"/>
      <c r="F51" s="262"/>
      <c r="G51" s="262"/>
      <c r="H51" s="262"/>
      <c r="I51" s="281"/>
    </row>
  </sheetData>
  <mergeCells count="79">
    <mergeCell ref="D1:I1"/>
    <mergeCell ref="D2:I2"/>
    <mergeCell ref="A4:I5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A10:B10"/>
    <mergeCell ref="C10:D10"/>
    <mergeCell ref="G10:G11"/>
    <mergeCell ref="H10:I11"/>
    <mergeCell ref="A11:B11"/>
    <mergeCell ref="C11:D11"/>
    <mergeCell ref="A12:B12"/>
    <mergeCell ref="C12:D12"/>
    <mergeCell ref="G12:G13"/>
    <mergeCell ref="H12:I13"/>
    <mergeCell ref="A13:B13"/>
    <mergeCell ref="C13:D13"/>
    <mergeCell ref="C15:E15"/>
    <mergeCell ref="C16:E16"/>
    <mergeCell ref="A18:E18"/>
    <mergeCell ref="H18:I18"/>
    <mergeCell ref="B19:C19"/>
    <mergeCell ref="D19:E19"/>
    <mergeCell ref="B28:C28"/>
    <mergeCell ref="D28:E28"/>
    <mergeCell ref="A20:I20"/>
    <mergeCell ref="B21:C21"/>
    <mergeCell ref="D21:E21"/>
    <mergeCell ref="B22:C22"/>
    <mergeCell ref="D22:E22"/>
    <mergeCell ref="B23:C23"/>
    <mergeCell ref="D23:E23"/>
    <mergeCell ref="B24:C24"/>
    <mergeCell ref="D24:E24"/>
    <mergeCell ref="D25:E25"/>
    <mergeCell ref="B27:C27"/>
    <mergeCell ref="D27:E27"/>
    <mergeCell ref="B29:C29"/>
    <mergeCell ref="D29:E29"/>
    <mergeCell ref="B30:C30"/>
    <mergeCell ref="D30:E30"/>
    <mergeCell ref="B31:C31"/>
    <mergeCell ref="D31:E31"/>
    <mergeCell ref="B39:C39"/>
    <mergeCell ref="D39:E39"/>
    <mergeCell ref="D32:E32"/>
    <mergeCell ref="B33:C33"/>
    <mergeCell ref="D33:E33"/>
    <mergeCell ref="B34:C34"/>
    <mergeCell ref="D34:E34"/>
    <mergeCell ref="B35:C35"/>
    <mergeCell ref="D35:E35"/>
    <mergeCell ref="B36:C36"/>
    <mergeCell ref="D36:E36"/>
    <mergeCell ref="D37:E37"/>
    <mergeCell ref="B38:C38"/>
    <mergeCell ref="D38:E38"/>
    <mergeCell ref="B40:C40"/>
    <mergeCell ref="D40:E40"/>
    <mergeCell ref="B41:C41"/>
    <mergeCell ref="D41:E41"/>
    <mergeCell ref="B42:C42"/>
    <mergeCell ref="D42:E42"/>
    <mergeCell ref="A49:I49"/>
    <mergeCell ref="A50:I50"/>
    <mergeCell ref="A51:I51"/>
    <mergeCell ref="H43:I43"/>
    <mergeCell ref="H44:I44"/>
    <mergeCell ref="H45:I45"/>
    <mergeCell ref="A46:I46"/>
    <mergeCell ref="A47:I47"/>
    <mergeCell ref="A48:I48"/>
  </mergeCells>
  <phoneticPr fontId="2" type="noConversion"/>
  <hyperlinks>
    <hyperlink ref="H9" r:id="rId1" display="gspark@gluesys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27</vt:i4>
      </vt:variant>
    </vt:vector>
  </HeadingPairs>
  <TitlesOfParts>
    <vt:vector size="35" baseType="lpstr">
      <vt:lpstr>AS5 DB</vt:lpstr>
      <vt:lpstr>Sheet1</vt:lpstr>
      <vt:lpstr>AS500 일체형</vt:lpstr>
      <vt:lpstr>PlugDISK</vt:lpstr>
      <vt:lpstr>GW 싱글-사용X</vt:lpstr>
      <vt:lpstr>GW 클러스터-사용X</vt:lpstr>
      <vt:lpstr>AS3000-사용X</vt:lpstr>
      <vt:lpstr>Sheet2</vt:lpstr>
      <vt:lpstr>AS3000SD</vt:lpstr>
      <vt:lpstr>AS3000SD워런티</vt:lpstr>
      <vt:lpstr>AS5워런티</vt:lpstr>
      <vt:lpstr>AS5일체형</vt:lpstr>
      <vt:lpstr>GW</vt:lpstr>
      <vt:lpstr>GWCluster</vt:lpstr>
      <vt:lpstr>GWCPU</vt:lpstr>
      <vt:lpstr>GWSingle</vt:lpstr>
      <vt:lpstr>GW워런티</vt:lpstr>
      <vt:lpstr>HBA_IB</vt:lpstr>
      <vt:lpstr>IB</vt:lpstr>
      <vt:lpstr>NIC</vt:lpstr>
      <vt:lpstr>PD워런티</vt:lpstr>
      <vt:lpstr>PlugDISK</vt:lpstr>
      <vt:lpstr>'AS3000-사용X'!Print_Area</vt:lpstr>
      <vt:lpstr>'AS500 일체형'!Print_Area</vt:lpstr>
      <vt:lpstr>'GW 싱글-사용X'!Print_Area</vt:lpstr>
      <vt:lpstr>'GW 클러스터-사용X'!Print_Area</vt:lpstr>
      <vt:lpstr>PlugDISK!Print_Area</vt:lpstr>
      <vt:lpstr>RAID</vt:lpstr>
      <vt:lpstr>RAID표</vt:lpstr>
      <vt:lpstr>견적담당자</vt:lpstr>
      <vt:lpstr>견적담당자INFO</vt:lpstr>
      <vt:lpstr>디스크</vt:lpstr>
      <vt:lpstr>메모리</vt:lpstr>
      <vt:lpstr>옵션SW</vt:lpstr>
      <vt:lpstr>워런티복제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</dc:creator>
  <cp:lastModifiedBy>HOON</cp:lastModifiedBy>
  <cp:lastPrinted>2022-07-11T08:33:38Z</cp:lastPrinted>
  <dcterms:created xsi:type="dcterms:W3CDTF">2022-06-19T02:35:26Z</dcterms:created>
  <dcterms:modified xsi:type="dcterms:W3CDTF">2022-12-09T14:26:36Z</dcterms:modified>
</cp:coreProperties>
</file>